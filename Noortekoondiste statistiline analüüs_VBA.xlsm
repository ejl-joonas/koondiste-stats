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4132EEC7-BCC8-4B1C-BA0D-8F8444665896}" xr6:coauthVersionLast="47" xr6:coauthVersionMax="47" xr10:uidLastSave="{00000000-0000-0000-0000-000000000000}"/>
  <bookViews>
    <workbookView xWindow="28680" yWindow="-120" windowWidth="29040" windowHeight="15720" activeTab="2" xr2:uid="{908B24FC-6D10-448F-92B2-AADA4B655895}"/>
  </bookViews>
  <sheets>
    <sheet name="DATA" sheetId="1" r:id="rId1"/>
    <sheet name="ANALYSIS" sheetId="2" r:id="rId2"/>
    <sheet name="Report1" sheetId="8" r:id="rId3"/>
    <sheet name="Report2" sheetId="10" r:id="rId4"/>
  </sheets>
  <functionGroups builtInGroupCount="19"/>
  <externalReferences>
    <externalReference r:id="rId5"/>
  </externalReferences>
  <definedNames>
    <definedName name="_xleta.SUM" hidden="1" xlm="1">#NAME?</definedName>
    <definedName name="neg_L1">[1]Algandmed!$AG$1435</definedName>
    <definedName name="neg_L1_2p">[1]Algandmed!$AQ$1435</definedName>
    <definedName name="neg_L21">[1]Algandmed!$AG$1434</definedName>
    <definedName name="neg_L21_2p">[1]Algandmed!$AQ$1434</definedName>
    <definedName name="neg_L22">[1]Algandmed!$AG$1433</definedName>
    <definedName name="neg_L22_2p">[1]Algandmed!$AQ$1433</definedName>
    <definedName name="neg_L3">[1]Algandmed!$AG$1432</definedName>
    <definedName name="neg_L3_2p">[1]Algandmed!$AQ$1432</definedName>
    <definedName name="neg_M1">[1]Algandmed!$AH$1435</definedName>
    <definedName name="neg_M1_2p">[1]Algandmed!$AR$1435</definedName>
    <definedName name="neg_M21">[1]Algandmed!$AH$1434</definedName>
    <definedName name="neg_M21_2p">[1]Algandmed!$AR$1434</definedName>
    <definedName name="neg_M22">[1]Algandmed!$AH$1433</definedName>
    <definedName name="neg_M22_2p">[1]Algandmed!$AR$1433</definedName>
    <definedName name="neg_M3">[1]Algandmed!$AH$1432</definedName>
    <definedName name="neg_M3_2p">[1]Algandmed!$AR$1432</definedName>
    <definedName name="neg_R1">[1]Algandmed!$AI$1435</definedName>
    <definedName name="neg_R1_2p">[1]Algandmed!$AS$1435</definedName>
    <definedName name="neg_R21">[1]Algandmed!$AI$1434</definedName>
    <definedName name="neg_R21_2p">[1]Algandmed!$AS$1434</definedName>
    <definedName name="neg_R22">[1]Algandmed!$AI$1433</definedName>
    <definedName name="neg_R22_2p">[1]Algandmed!$AS$1433</definedName>
    <definedName name="neg_R3">[1]Algandmed!$AI$1432</definedName>
    <definedName name="neg_R3_2p">[1]Algandmed!$AS$1432</definedName>
    <definedName name="pos_L1">[1]Algandmed!$AC$1435</definedName>
    <definedName name="pos_L1_2p">[1]Algandmed!$AM$1435</definedName>
    <definedName name="pos_L21">[1]Algandmed!$AC$1434</definedName>
    <definedName name="pos_L21_2p">[1]Algandmed!$AM$1434</definedName>
    <definedName name="pos_L22">[1]Algandmed!$AC$1433</definedName>
    <definedName name="pos_L22_2p">[1]Algandmed!$AM$1433</definedName>
    <definedName name="pos_L3">[1]Algandmed!$AC$1432</definedName>
    <definedName name="pos_L3_2p">[1]Algandmed!$AM$1432</definedName>
    <definedName name="pos_M1">[1]Algandmed!$AD$1435</definedName>
    <definedName name="pos_M1_2p">[1]Algandmed!$AN$1435</definedName>
    <definedName name="pos_M21">[1]Algandmed!$AD$1434</definedName>
    <definedName name="pos_M21_2p">[1]Algandmed!$AN$1434</definedName>
    <definedName name="pos_M22">[1]Algandmed!$AD$1433</definedName>
    <definedName name="pos_M22_2p">[1]Algandmed!$AN$1433</definedName>
    <definedName name="pos_M3">[1]Algandmed!$AD$1432</definedName>
    <definedName name="pos_M3_2p">[1]Algandmed!$AN$1432</definedName>
    <definedName name="pos_R1">[1]Algandmed!$AE$1435</definedName>
    <definedName name="pos_R1_2p">[1]Algandmed!$AO$1435</definedName>
    <definedName name="pos_R21">[1]Algandmed!$AE$1434</definedName>
    <definedName name="pos_R21_2p">[1]Algandmed!$AO$1434</definedName>
    <definedName name="pos_R22">[1]Algandmed!$AE$1433</definedName>
    <definedName name="pos_R22_2p">[1]Algandmed!$AO$1433</definedName>
    <definedName name="pos_R3">[1]Algandmed!$AE$1432</definedName>
    <definedName name="pos_R3_2p">[1]Algandmed!$AO$1432</definedName>
    <definedName name="_xlnm.Print_Area" localSheetId="2">Report1!$A$1:$AT$191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3" i="2" l="1"/>
  <c r="H104" i="2"/>
  <c r="H102" i="2"/>
  <c r="AU130" i="2"/>
  <c r="AU131" i="2"/>
  <c r="AU132" i="2"/>
  <c r="AU133" i="2"/>
  <c r="AU134" i="2"/>
  <c r="AU129" i="2"/>
  <c r="AT130" i="2"/>
  <c r="AT131" i="2"/>
  <c r="AT132" i="2"/>
  <c r="AT133" i="2"/>
  <c r="AT134" i="2"/>
  <c r="AT129" i="2"/>
  <c r="G70" i="10"/>
  <c r="F70" i="10"/>
  <c r="E70" i="10"/>
  <c r="C70" i="10"/>
  <c r="B70" i="10"/>
  <c r="A70" i="10"/>
  <c r="G69" i="10"/>
  <c r="F69" i="10"/>
  <c r="E69" i="10"/>
  <c r="C69" i="10"/>
  <c r="B69" i="10"/>
  <c r="A69" i="10"/>
  <c r="G68" i="10"/>
  <c r="F68" i="10"/>
  <c r="E68" i="10"/>
  <c r="C68" i="10"/>
  <c r="B68" i="10"/>
  <c r="A68" i="10"/>
  <c r="G67" i="10"/>
  <c r="F67" i="10"/>
  <c r="E67" i="10"/>
  <c r="C67" i="10"/>
  <c r="B67" i="10"/>
  <c r="A67" i="10"/>
  <c r="G59" i="10"/>
  <c r="F59" i="10"/>
  <c r="E59" i="10"/>
  <c r="C59" i="10"/>
  <c r="B59" i="10"/>
  <c r="A59" i="10"/>
  <c r="G58" i="10"/>
  <c r="F58" i="10"/>
  <c r="E58" i="10"/>
  <c r="C58" i="10"/>
  <c r="B58" i="10"/>
  <c r="A58" i="10"/>
  <c r="G57" i="10"/>
  <c r="F57" i="10"/>
  <c r="E57" i="10"/>
  <c r="C57" i="10"/>
  <c r="B57" i="10"/>
  <c r="A57" i="10"/>
  <c r="G56" i="10"/>
  <c r="F56" i="10"/>
  <c r="E56" i="10"/>
  <c r="C56" i="10"/>
  <c r="B56" i="10"/>
  <c r="A56" i="10"/>
  <c r="G22" i="10"/>
  <c r="F22" i="10"/>
  <c r="E22" i="10"/>
  <c r="C22" i="10"/>
  <c r="B22" i="10"/>
  <c r="A22" i="10"/>
  <c r="G21" i="10"/>
  <c r="F21" i="10"/>
  <c r="E21" i="10"/>
  <c r="C21" i="10"/>
  <c r="B21" i="10"/>
  <c r="A21" i="10"/>
  <c r="G20" i="10"/>
  <c r="F20" i="10"/>
  <c r="E20" i="10"/>
  <c r="C20" i="10"/>
  <c r="B20" i="10"/>
  <c r="A20" i="10"/>
  <c r="G19" i="10"/>
  <c r="F19" i="10"/>
  <c r="E19" i="10"/>
  <c r="C19" i="10"/>
  <c r="B19" i="10"/>
  <c r="A19" i="10"/>
  <c r="K131" i="2" l="1"/>
  <c r="K130" i="2"/>
  <c r="J131" i="2"/>
  <c r="J130" i="2"/>
  <c r="K120" i="2"/>
  <c r="K119" i="2"/>
  <c r="K118" i="2"/>
  <c r="K117" i="2"/>
  <c r="K116" i="2"/>
  <c r="K115" i="2"/>
  <c r="J120" i="2"/>
  <c r="J119" i="2"/>
  <c r="J118" i="2"/>
  <c r="J117" i="2"/>
  <c r="J116" i="2"/>
  <c r="J115" i="2"/>
  <c r="J104" i="2"/>
  <c r="J103" i="2"/>
  <c r="J102" i="2"/>
  <c r="J99" i="2"/>
  <c r="J98" i="2"/>
  <c r="J97" i="2"/>
  <c r="J94" i="2"/>
  <c r="J93" i="2"/>
  <c r="J92" i="2"/>
  <c r="H94" i="2"/>
  <c r="H93" i="2"/>
  <c r="H92" i="2"/>
  <c r="H99" i="2"/>
  <c r="H98" i="2"/>
  <c r="H97" i="2"/>
  <c r="L21" i="2"/>
  <c r="M21" i="2" s="1"/>
  <c r="L20" i="2"/>
  <c r="M20" i="2" s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" i="1"/>
  <c r="R12" i="1" a="1"/>
  <c r="R216" i="1" a="1"/>
  <c r="R36" i="1" a="1"/>
  <c r="R221" i="1" a="1"/>
  <c r="R33" i="1" a="1"/>
  <c r="R86" i="1" a="1"/>
  <c r="R77" i="1" a="1"/>
  <c r="R81" i="1" a="1"/>
  <c r="R218" i="1" a="1"/>
  <c r="R110" i="1" a="1"/>
  <c r="R42" i="1" a="1"/>
  <c r="R90" i="1" a="1"/>
  <c r="R101" i="1" a="1"/>
  <c r="R119" i="1" a="1"/>
  <c r="R57" i="1" a="1"/>
  <c r="R66" i="1" a="1"/>
  <c r="R209" i="1" a="1"/>
  <c r="R210" i="1" a="1"/>
  <c r="R187" i="1" a="1"/>
  <c r="R89" i="1" a="1"/>
  <c r="R118" i="1" a="1"/>
  <c r="R175" i="1" a="1"/>
  <c r="R200" i="1" a="1"/>
  <c r="R154" i="1" a="1"/>
  <c r="R83" i="1" a="1"/>
  <c r="R223" i="1" a="1"/>
  <c r="R21" i="1" a="1"/>
  <c r="R104" i="1" a="1"/>
  <c r="R164" i="1" a="1"/>
  <c r="R11" i="1" a="1"/>
  <c r="R215" i="1" a="1"/>
  <c r="R18" i="1" a="1"/>
  <c r="R224" i="1" a="1"/>
  <c r="R158" i="1" a="1"/>
  <c r="R7" i="1" a="1"/>
  <c r="R190" i="1" a="1"/>
  <c r="R34" i="1" a="1"/>
  <c r="R39" i="1" a="1"/>
  <c r="R135" i="1" a="1"/>
  <c r="R134" i="1" a="1"/>
  <c r="R38" i="1" a="1"/>
  <c r="R206" i="1" a="1"/>
  <c r="R53" i="1" a="1"/>
  <c r="R15" i="1" a="1"/>
  <c r="R80" i="1" a="1"/>
  <c r="R16" i="1" a="1"/>
  <c r="R71" i="1" a="1"/>
  <c r="R161" i="1" a="1"/>
  <c r="R94" i="1" a="1"/>
  <c r="R64" i="1" a="1"/>
  <c r="R168" i="1" a="1"/>
  <c r="R31" i="1" a="1"/>
  <c r="R20" i="1" a="1"/>
  <c r="R117" i="1" a="1"/>
  <c r="R163" i="1" a="1"/>
  <c r="R149" i="1" a="1"/>
  <c r="R85" i="1" a="1"/>
  <c r="R14" i="1" a="1"/>
  <c r="R19" i="1" a="1"/>
  <c r="R212" i="1" a="1"/>
  <c r="R111" i="1" a="1"/>
  <c r="R96" i="1" a="1"/>
  <c r="R214" i="1" a="1"/>
  <c r="R194" i="1" a="1"/>
  <c r="R196" i="1" a="1"/>
  <c r="R92" i="1" a="1"/>
  <c r="R141" i="1" a="1"/>
  <c r="R40" i="1" a="1"/>
  <c r="R56" i="1" a="1"/>
  <c r="R169" i="1" a="1"/>
  <c r="R172" i="1" a="1"/>
  <c r="R6" i="1" a="1"/>
  <c r="R162" i="1" a="1"/>
  <c r="R147" i="1" a="1"/>
  <c r="R9" i="1" a="1"/>
  <c r="R182" i="1" a="1"/>
  <c r="R129" i="1" a="1"/>
  <c r="R73" i="1" a="1"/>
  <c r="R156" i="1" a="1"/>
  <c r="R170" i="1" a="1"/>
  <c r="R213" i="1" a="1"/>
  <c r="R4" i="1" a="1"/>
  <c r="R122" i="1" a="1"/>
  <c r="R198" i="1" a="1"/>
  <c r="R114" i="1" a="1"/>
  <c r="R121" i="1" a="1"/>
  <c r="R88" i="1" a="1"/>
  <c r="R25" i="1" a="1"/>
  <c r="R65" i="1" a="1"/>
  <c r="R10" i="1" a="1"/>
  <c r="R68" i="1" a="1"/>
  <c r="R72" i="1" a="1"/>
  <c r="R5" i="1" a="1"/>
  <c r="R116" i="1" a="1"/>
  <c r="R29" i="1" a="1"/>
  <c r="R180" i="1" a="1"/>
  <c r="R82" i="1" a="1"/>
  <c r="R125" i="1" a="1"/>
  <c r="R185" i="1" a="1"/>
  <c r="R152" i="1" a="1"/>
  <c r="R138" i="1" a="1"/>
  <c r="R126" i="1" a="1"/>
  <c r="R61" i="1" a="1"/>
  <c r="R2" i="1" a="1"/>
  <c r="R91" i="1" a="1"/>
  <c r="R84" i="1" a="1"/>
  <c r="R78" i="1" a="1"/>
  <c r="R43" i="1" a="1"/>
  <c r="R23" i="1" a="1"/>
  <c r="R50" i="1" a="1"/>
  <c r="R153" i="1" a="1"/>
  <c r="R184" i="1" a="1"/>
  <c r="R28" i="1" a="1"/>
  <c r="R54" i="1" a="1"/>
  <c r="R8" i="1" a="1"/>
  <c r="R203" i="1" a="1"/>
  <c r="R17" i="1" a="1"/>
  <c r="R69" i="1" a="1"/>
  <c r="R222" i="1" a="1"/>
  <c r="R59" i="1" a="1"/>
  <c r="R189" i="1" a="1"/>
  <c r="R115" i="1" a="1"/>
  <c r="R186" i="1" a="1"/>
  <c r="R113" i="1" a="1"/>
  <c r="R100" i="1" a="1"/>
  <c r="R192" i="1" a="1"/>
  <c r="R13" i="1" a="1"/>
  <c r="R211" i="1" a="1"/>
  <c r="R225" i="1" a="1"/>
  <c r="R145" i="1" a="1"/>
  <c r="R204" i="1" a="1"/>
  <c r="R157" i="1" a="1"/>
  <c r="R155" i="1" a="1"/>
  <c r="R128" i="1" a="1"/>
  <c r="R173" i="1" a="1"/>
  <c r="R87" i="1" a="1"/>
  <c r="R26" i="1" a="1"/>
  <c r="R97" i="1" a="1"/>
  <c r="R137" i="1" a="1"/>
  <c r="R181" i="1" a="1"/>
  <c r="R195" i="1" a="1"/>
  <c r="R41" i="1" a="1"/>
  <c r="R179" i="1" a="1"/>
  <c r="R140" i="1" a="1"/>
  <c r="R202" i="1" a="1"/>
  <c r="R52" i="1" a="1"/>
  <c r="R48" i="1" a="1"/>
  <c r="R32" i="1" a="1"/>
  <c r="R148" i="1" a="1"/>
  <c r="R109" i="1" a="1"/>
  <c r="R133" i="1" a="1"/>
  <c r="R177" i="1" a="1"/>
  <c r="R171" i="1" a="1"/>
  <c r="R188" i="1" a="1"/>
  <c r="R106" i="1" a="1"/>
  <c r="R95" i="1" a="1"/>
  <c r="R24" i="1" a="1"/>
  <c r="R45" i="1" a="1"/>
  <c r="R193" i="1" a="1"/>
  <c r="R93" i="1" a="1"/>
  <c r="R76" i="1" a="1"/>
  <c r="R151" i="1" a="1"/>
  <c r="R99" i="1" a="1"/>
  <c r="R165" i="1" a="1"/>
  <c r="R124" i="1" a="1"/>
  <c r="R183" i="1" a="1"/>
  <c r="R144" i="1" a="1"/>
  <c r="R98" i="1" a="1"/>
  <c r="R55" i="1" a="1"/>
  <c r="R205" i="1" a="1"/>
  <c r="R146" i="1" a="1"/>
  <c r="R127" i="1" a="1"/>
  <c r="R150" i="1" a="1"/>
  <c r="R49" i="1" a="1"/>
  <c r="R103" i="1" a="1"/>
  <c r="R219" i="1" a="1"/>
  <c r="R191" i="1" a="1"/>
  <c r="R178" i="1" a="1"/>
  <c r="R67" i="1" a="1"/>
  <c r="R166" i="1" a="1"/>
  <c r="R22" i="1" a="1"/>
  <c r="R37" i="1" a="1"/>
  <c r="R139" i="1" a="1"/>
  <c r="R51" i="1" a="1"/>
  <c r="R201" i="1" a="1"/>
  <c r="R58" i="1" a="1"/>
  <c r="R208" i="1" a="1"/>
  <c r="R143" i="1" a="1"/>
  <c r="R46" i="1" a="1"/>
  <c r="R132" i="1" a="1"/>
  <c r="R107" i="1" a="1"/>
  <c r="R130" i="1" a="1"/>
  <c r="R217" i="1" a="1"/>
  <c r="R174" i="1" a="1"/>
  <c r="R102" i="1" a="1"/>
  <c r="R27" i="1" a="1"/>
  <c r="R142" i="1" a="1"/>
  <c r="R63" i="1" a="1"/>
  <c r="R75" i="1" a="1"/>
  <c r="R35" i="1" a="1"/>
  <c r="R112" i="1" a="1"/>
  <c r="R123" i="1" a="1"/>
  <c r="R74" i="1" a="1"/>
  <c r="R60" i="1" a="1"/>
  <c r="R47" i="1" a="1"/>
  <c r="R160" i="1" a="1"/>
  <c r="R120" i="1" a="1"/>
  <c r="R220" i="1" a="1"/>
  <c r="R199" i="1" a="1"/>
  <c r="R159" i="1" a="1"/>
  <c r="R176" i="1" a="1"/>
  <c r="R136" i="1" a="1"/>
  <c r="R30" i="1" a="1"/>
  <c r="R105" i="1" a="1"/>
  <c r="R207" i="1" a="1"/>
  <c r="R62" i="1" a="1"/>
  <c r="R197" i="1" a="1"/>
  <c r="R167" i="1" a="1"/>
  <c r="R79" i="1" a="1"/>
  <c r="R44" i="1" a="1"/>
  <c r="R131" i="1" a="1"/>
  <c r="R108" i="1" a="1"/>
  <c r="R70" i="1" a="1"/>
  <c r="R3" i="1" a="1"/>
  <c r="R210" i="1" l="1"/>
  <c r="R199" i="1"/>
  <c r="R188" i="1"/>
  <c r="R218" i="1"/>
  <c r="R176" i="1"/>
  <c r="R164" i="1"/>
  <c r="R140" i="1"/>
  <c r="R128" i="1"/>
  <c r="R116" i="1"/>
  <c r="R198" i="1"/>
  <c r="R187" i="1"/>
  <c r="R217" i="1"/>
  <c r="R206" i="1"/>
  <c r="R175" i="1"/>
  <c r="R163" i="1"/>
  <c r="R151" i="1"/>
  <c r="R139" i="1"/>
  <c r="R127" i="1"/>
  <c r="R186" i="1"/>
  <c r="R216" i="1"/>
  <c r="R205" i="1"/>
  <c r="R194" i="1"/>
  <c r="R174" i="1"/>
  <c r="R162" i="1"/>
  <c r="R150" i="1"/>
  <c r="R138" i="1"/>
  <c r="R126" i="1"/>
  <c r="R224" i="1"/>
  <c r="R204" i="1"/>
  <c r="R193" i="1"/>
  <c r="R182" i="1"/>
  <c r="R170" i="1"/>
  <c r="R158" i="1"/>
  <c r="S159" i="1" s="1"/>
  <c r="R146" i="1"/>
  <c r="R134" i="1"/>
  <c r="R122" i="1"/>
  <c r="R223" i="1"/>
  <c r="R212" i="1"/>
  <c r="R192" i="1"/>
  <c r="R181" i="1"/>
  <c r="R169" i="1"/>
  <c r="R157" i="1"/>
  <c r="R145" i="1"/>
  <c r="R133" i="1"/>
  <c r="R121" i="1"/>
  <c r="R222" i="1"/>
  <c r="R211" i="1"/>
  <c r="R200" i="1"/>
  <c r="R180" i="1"/>
  <c r="R168" i="1"/>
  <c r="R156" i="1"/>
  <c r="R144" i="1"/>
  <c r="R132" i="1"/>
  <c r="R120" i="1"/>
  <c r="R152" i="1"/>
  <c r="R221" i="1"/>
  <c r="R215" i="1"/>
  <c r="S216" i="1" s="1"/>
  <c r="R209" i="1"/>
  <c r="R203" i="1"/>
  <c r="R197" i="1"/>
  <c r="S198" i="1" s="1"/>
  <c r="R191" i="1"/>
  <c r="R185" i="1"/>
  <c r="R179" i="1"/>
  <c r="R173" i="1"/>
  <c r="R167" i="1"/>
  <c r="R161" i="1"/>
  <c r="R155" i="1"/>
  <c r="R149" i="1"/>
  <c r="R143" i="1"/>
  <c r="R137" i="1"/>
  <c r="R131" i="1"/>
  <c r="R125" i="1"/>
  <c r="R119" i="1"/>
  <c r="R220" i="1"/>
  <c r="R214" i="1"/>
  <c r="R208" i="1"/>
  <c r="R202" i="1"/>
  <c r="R196" i="1"/>
  <c r="R190" i="1"/>
  <c r="R184" i="1"/>
  <c r="R178" i="1"/>
  <c r="R172" i="1"/>
  <c r="R166" i="1"/>
  <c r="R160" i="1"/>
  <c r="R154" i="1"/>
  <c r="R148" i="1"/>
  <c r="R142" i="1"/>
  <c r="R136" i="1"/>
  <c r="R130" i="1"/>
  <c r="R124" i="1"/>
  <c r="R118" i="1"/>
  <c r="R225" i="1"/>
  <c r="R219" i="1"/>
  <c r="R213" i="1"/>
  <c r="R207" i="1"/>
  <c r="R201" i="1"/>
  <c r="R195" i="1"/>
  <c r="R189" i="1"/>
  <c r="R183" i="1"/>
  <c r="R177" i="1"/>
  <c r="R171" i="1"/>
  <c r="R165" i="1"/>
  <c r="R159" i="1"/>
  <c r="R153" i="1"/>
  <c r="R147" i="1"/>
  <c r="R141" i="1"/>
  <c r="R135" i="1"/>
  <c r="R129" i="1"/>
  <c r="R123" i="1"/>
  <c r="R117" i="1"/>
  <c r="R98" i="1"/>
  <c r="R74" i="1"/>
  <c r="R50" i="1"/>
  <c r="R32" i="1"/>
  <c r="R14" i="1"/>
  <c r="R109" i="1"/>
  <c r="R97" i="1"/>
  <c r="R79" i="1"/>
  <c r="R67" i="1"/>
  <c r="R43" i="1"/>
  <c r="R7" i="1"/>
  <c r="R84" i="1"/>
  <c r="R104" i="1"/>
  <c r="R92" i="1"/>
  <c r="R80" i="1"/>
  <c r="R68" i="1"/>
  <c r="R56" i="1"/>
  <c r="R44" i="1"/>
  <c r="R26" i="1"/>
  <c r="R8" i="1"/>
  <c r="R115" i="1"/>
  <c r="S116" i="1" s="1"/>
  <c r="R103" i="1"/>
  <c r="R91" i="1"/>
  <c r="R85" i="1"/>
  <c r="R73" i="1"/>
  <c r="R61" i="1"/>
  <c r="R55" i="1"/>
  <c r="R49" i="1"/>
  <c r="S50" i="1" s="1"/>
  <c r="R37" i="1"/>
  <c r="R31" i="1"/>
  <c r="R25" i="1"/>
  <c r="R19" i="1"/>
  <c r="R13" i="1"/>
  <c r="S14" i="1" s="1"/>
  <c r="R114" i="1"/>
  <c r="R108" i="1"/>
  <c r="R102" i="1"/>
  <c r="R96" i="1"/>
  <c r="R90" i="1"/>
  <c r="R78" i="1"/>
  <c r="R72" i="1"/>
  <c r="R66" i="1"/>
  <c r="R60" i="1"/>
  <c r="R54" i="1"/>
  <c r="R48" i="1"/>
  <c r="R42" i="1"/>
  <c r="R36" i="1"/>
  <c r="S37" i="1" s="1"/>
  <c r="R30" i="1"/>
  <c r="R24" i="1"/>
  <c r="R18" i="1"/>
  <c r="R12" i="1"/>
  <c r="R6" i="1"/>
  <c r="R113" i="1"/>
  <c r="R107" i="1"/>
  <c r="R101" i="1"/>
  <c r="R95" i="1"/>
  <c r="R89" i="1"/>
  <c r="R83" i="1"/>
  <c r="R77" i="1"/>
  <c r="R71" i="1"/>
  <c r="R65" i="1"/>
  <c r="R59" i="1"/>
  <c r="R53" i="1"/>
  <c r="R47" i="1"/>
  <c r="R41" i="1"/>
  <c r="R35" i="1"/>
  <c r="R29" i="1"/>
  <c r="R23" i="1"/>
  <c r="R17" i="1"/>
  <c r="R11" i="1"/>
  <c r="R5" i="1"/>
  <c r="R4" i="1"/>
  <c r="R110" i="1"/>
  <c r="R86" i="1"/>
  <c r="R62" i="1"/>
  <c r="R38" i="1"/>
  <c r="R20" i="1"/>
  <c r="R112" i="1"/>
  <c r="R106" i="1"/>
  <c r="S107" i="1" s="1"/>
  <c r="R100" i="1"/>
  <c r="S101" i="1" s="1"/>
  <c r="R94" i="1"/>
  <c r="R88" i="1"/>
  <c r="R82" i="1"/>
  <c r="S83" i="1" s="1"/>
  <c r="R76" i="1"/>
  <c r="R70" i="1"/>
  <c r="R64" i="1"/>
  <c r="R58" i="1"/>
  <c r="R52" i="1"/>
  <c r="R46" i="1"/>
  <c r="R40" i="1"/>
  <c r="R34" i="1"/>
  <c r="R28" i="1"/>
  <c r="R22" i="1"/>
  <c r="R16" i="1"/>
  <c r="S17" i="1" s="1"/>
  <c r="R10" i="1"/>
  <c r="R111" i="1"/>
  <c r="R105" i="1"/>
  <c r="R99" i="1"/>
  <c r="R93" i="1"/>
  <c r="R87" i="1"/>
  <c r="R81" i="1"/>
  <c r="R75" i="1"/>
  <c r="R69" i="1"/>
  <c r="R63" i="1"/>
  <c r="R57" i="1"/>
  <c r="S57" i="1" s="1"/>
  <c r="R51" i="1"/>
  <c r="R45" i="1"/>
  <c r="R39" i="1"/>
  <c r="R33" i="1"/>
  <c r="R27" i="1"/>
  <c r="R21" i="1"/>
  <c r="R15" i="1"/>
  <c r="R9" i="1"/>
  <c r="R3" i="1"/>
  <c r="R2" i="1"/>
  <c r="S46" i="1" l="1"/>
  <c r="S6" i="1"/>
  <c r="S114" i="1"/>
  <c r="S130" i="1"/>
  <c r="S202" i="1"/>
  <c r="S161" i="1"/>
  <c r="S51" i="1"/>
  <c r="S88" i="1"/>
  <c r="S68" i="1"/>
  <c r="S167" i="1"/>
  <c r="S132" i="1"/>
  <c r="S204" i="1"/>
  <c r="S49" i="1"/>
  <c r="S80" i="1"/>
  <c r="S55" i="1"/>
  <c r="S218" i="1"/>
  <c r="S29" i="1"/>
  <c r="S147" i="1"/>
  <c r="S171" i="1"/>
  <c r="S41" i="1"/>
  <c r="S113" i="1"/>
  <c r="S38" i="1"/>
  <c r="S21" i="1"/>
  <c r="S62" i="1"/>
  <c r="S12" i="1"/>
  <c r="S136" i="1"/>
  <c r="S208" i="1"/>
  <c r="S71" i="1"/>
  <c r="S105" i="1"/>
  <c r="S65" i="1"/>
  <c r="S86" i="1"/>
  <c r="S126" i="1"/>
  <c r="S163" i="1"/>
  <c r="S188" i="1"/>
  <c r="S123" i="1"/>
  <c r="S93" i="1"/>
  <c r="S75" i="1"/>
  <c r="S99" i="1"/>
  <c r="S84" i="1"/>
  <c r="S212" i="1"/>
  <c r="S175" i="1"/>
  <c r="S18" i="1"/>
  <c r="S142" i="1"/>
  <c r="S214" i="1"/>
  <c r="S173" i="1"/>
  <c r="S138" i="1"/>
  <c r="S210" i="1"/>
  <c r="S223" i="1"/>
  <c r="S195" i="1"/>
  <c r="S199" i="1"/>
  <c r="S63" i="1"/>
  <c r="S96" i="1"/>
  <c r="S27" i="1"/>
  <c r="S148" i="1"/>
  <c r="S220" i="1"/>
  <c r="S179" i="1"/>
  <c r="S144" i="1"/>
  <c r="S206" i="1"/>
  <c r="S117" i="1"/>
  <c r="S60" i="1"/>
  <c r="S109" i="1"/>
  <c r="S154" i="1"/>
  <c r="S150" i="1"/>
  <c r="S119" i="1"/>
  <c r="S191" i="1"/>
  <c r="S156" i="1"/>
  <c r="S183" i="1"/>
  <c r="S39" i="1"/>
  <c r="S168" i="1"/>
  <c r="S177" i="1"/>
  <c r="S135" i="1"/>
  <c r="S94" i="1"/>
  <c r="S185" i="1"/>
  <c r="S110" i="1"/>
  <c r="S180" i="1"/>
  <c r="S103" i="1"/>
  <c r="S201" i="1"/>
  <c r="S122" i="1"/>
  <c r="S134" i="1"/>
  <c r="S129" i="1"/>
  <c r="S160" i="1"/>
  <c r="S153" i="1"/>
  <c r="S141" i="1"/>
  <c r="S82" i="1"/>
  <c r="S166" i="1"/>
  <c r="S125" i="1"/>
  <c r="S197" i="1"/>
  <c r="S121" i="1"/>
  <c r="S158" i="1"/>
  <c r="S194" i="1"/>
  <c r="S128" i="1"/>
  <c r="S165" i="1"/>
  <c r="S172" i="1"/>
  <c r="S131" i="1"/>
  <c r="S203" i="1"/>
  <c r="S133" i="1"/>
  <c r="S170" i="1"/>
  <c r="S205" i="1"/>
  <c r="S140" i="1"/>
  <c r="S178" i="1"/>
  <c r="S137" i="1"/>
  <c r="S209" i="1"/>
  <c r="S174" i="1"/>
  <c r="S145" i="1"/>
  <c r="S182" i="1"/>
  <c r="S225" i="1"/>
  <c r="S152" i="1"/>
  <c r="S219" i="1"/>
  <c r="S115" i="1"/>
  <c r="S184" i="1"/>
  <c r="S143" i="1"/>
  <c r="S215" i="1"/>
  <c r="S157" i="1"/>
  <c r="S193" i="1"/>
  <c r="S127" i="1"/>
  <c r="S164" i="1"/>
  <c r="S189" i="1"/>
  <c r="S146" i="1"/>
  <c r="S33" i="1"/>
  <c r="S186" i="1"/>
  <c r="S200" i="1"/>
  <c r="S43" i="1"/>
  <c r="S48" i="1"/>
  <c r="S222" i="1"/>
  <c r="S217" i="1"/>
  <c r="S187" i="1"/>
  <c r="S3" i="1"/>
  <c r="S162" i="1"/>
  <c r="S66" i="1"/>
  <c r="S24" i="1"/>
  <c r="S118" i="1"/>
  <c r="S190" i="1"/>
  <c r="S149" i="1"/>
  <c r="S221" i="1"/>
  <c r="S169" i="1"/>
  <c r="S213" i="1"/>
  <c r="S139" i="1"/>
  <c r="S176" i="1"/>
  <c r="S40" i="1"/>
  <c r="S112" i="1"/>
  <c r="S77" i="1"/>
  <c r="S5" i="1"/>
  <c r="S72" i="1"/>
  <c r="S31" i="1"/>
  <c r="S92" i="1"/>
  <c r="S8" i="1"/>
  <c r="S124" i="1"/>
  <c r="S196" i="1"/>
  <c r="S155" i="1"/>
  <c r="S120" i="1"/>
  <c r="S192" i="1"/>
  <c r="S181" i="1"/>
  <c r="S224" i="1"/>
  <c r="S151" i="1"/>
  <c r="S207" i="1"/>
  <c r="S211" i="1"/>
  <c r="S34" i="1"/>
  <c r="S52" i="1"/>
  <c r="S89" i="1"/>
  <c r="S102" i="1"/>
  <c r="S45" i="1"/>
  <c r="S20" i="1"/>
  <c r="S81" i="1"/>
  <c r="S95" i="1"/>
  <c r="S11" i="1"/>
  <c r="S32" i="1"/>
  <c r="S69" i="1"/>
  <c r="S98" i="1"/>
  <c r="S47" i="1"/>
  <c r="S73" i="1"/>
  <c r="S10" i="1"/>
  <c r="S16" i="1"/>
  <c r="S79" i="1"/>
  <c r="S22" i="1"/>
  <c r="S13" i="1"/>
  <c r="S44" i="1"/>
  <c r="S78" i="1"/>
  <c r="S19" i="1"/>
  <c r="S100" i="1"/>
  <c r="S74" i="1"/>
  <c r="S59" i="1"/>
  <c r="S70" i="1"/>
  <c r="S61" i="1"/>
  <c r="S36" i="1"/>
  <c r="S67" i="1"/>
  <c r="S26" i="1"/>
  <c r="S58" i="1"/>
  <c r="S4" i="1"/>
  <c r="S104" i="1"/>
  <c r="S23" i="1"/>
  <c r="S7" i="1"/>
  <c r="S30" i="1"/>
  <c r="S54" i="1"/>
  <c r="S108" i="1"/>
  <c r="S85" i="1"/>
  <c r="S42" i="1"/>
  <c r="S76" i="1"/>
  <c r="S28" i="1"/>
  <c r="S91" i="1"/>
  <c r="S9" i="1"/>
  <c r="S53" i="1"/>
  <c r="S87" i="1"/>
  <c r="S25" i="1"/>
  <c r="S97" i="1"/>
  <c r="S56" i="1"/>
  <c r="S15" i="1"/>
  <c r="S90" i="1"/>
  <c r="S64" i="1"/>
  <c r="S35" i="1"/>
  <c r="S106" i="1"/>
  <c r="S1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<sst xmlns="http://schemas.openxmlformats.org/spreadsheetml/2006/main" count="1929" uniqueCount="320">
  <si>
    <t>Name</t>
  </si>
  <si>
    <t>Position</t>
  </si>
  <si>
    <t>Duration</t>
  </si>
  <si>
    <t>Poolaeg</t>
  </si>
  <si>
    <t>Põhimoment</t>
  </si>
  <si>
    <t>Tsoon1</t>
  </si>
  <si>
    <t>Tsoon2</t>
  </si>
  <si>
    <t>Tsoon3</t>
  </si>
  <si>
    <t>Opening</t>
  </si>
  <si>
    <t>Pressing</t>
  </si>
  <si>
    <t>Outcome</t>
  </si>
  <si>
    <t>Result</t>
  </si>
  <si>
    <t>Shot2</t>
  </si>
  <si>
    <t>Standard last/4</t>
  </si>
  <si>
    <t>Field Position</t>
  </si>
  <si>
    <t>Shot3</t>
  </si>
  <si>
    <t>Momentum_final</t>
  </si>
  <si>
    <t>Momentum_start</t>
  </si>
  <si>
    <t>xT_start</t>
  </si>
  <si>
    <t>xT_final</t>
  </si>
  <si>
    <t>Aeg</t>
  </si>
  <si>
    <t>AA</t>
  </si>
  <si>
    <t>MIDPRESS</t>
  </si>
  <si>
    <t>NEG</t>
  </si>
  <si>
    <t>-</t>
  </si>
  <si>
    <t>HIGHPRESS</t>
  </si>
  <si>
    <t>SHOTGOAL</t>
  </si>
  <si>
    <t>POS</t>
  </si>
  <si>
    <t>DD</t>
  </si>
  <si>
    <t>KEEPPOS</t>
  </si>
  <si>
    <t>DA</t>
  </si>
  <si>
    <t>SHOTBLOCK</t>
  </si>
  <si>
    <t>45+</t>
  </si>
  <si>
    <t>90+</t>
  </si>
  <si>
    <t xml:space="preserve"> AA STAN_KICKOFF POS WINOPENSTAN</t>
  </si>
  <si>
    <t xml:space="preserve"> AA THROWIN_OPEN NEG -</t>
  </si>
  <si>
    <t xml:space="preserve"> AD S1 S2 S3 NEG WINSTANDARD</t>
  </si>
  <si>
    <t xml:space="preserve"> DD STAN_CORNER POS -</t>
  </si>
  <si>
    <t xml:space="preserve"> DD S2 LOWPRESS POS KEEPPOS</t>
  </si>
  <si>
    <t xml:space="preserve"> AA S1 MIDPRESS NEG -</t>
  </si>
  <si>
    <t xml:space="preserve"> AD S3 NEG SHOTGOAL</t>
  </si>
  <si>
    <t xml:space="preserve"> AA STAN_KICKOFF POS KEEPPOS</t>
  </si>
  <si>
    <t xml:space="preserve"> AA S1 S2 MIDPRESS NEG -</t>
  </si>
  <si>
    <t xml:space="preserve"> AD S2 S3 NEG WINSTANDARD</t>
  </si>
  <si>
    <t xml:space="preserve"> DD STAN_CORNER POS WINOPENSTAN</t>
  </si>
  <si>
    <t xml:space="preserve"> AD S1 POS KEEPPOS</t>
  </si>
  <si>
    <t xml:space="preserve"> AA THROWIN_OPEN POS KEEPPOS</t>
  </si>
  <si>
    <t xml:space="preserve"> AA S2 LOWPRESS NEG -</t>
  </si>
  <si>
    <t xml:space="preserve"> AD S2 S3 POS ENTRY</t>
  </si>
  <si>
    <t xml:space="preserve"> AA S1 GK_SHORT MIDPRESS NEG -</t>
  </si>
  <si>
    <t xml:space="preserve"> DD FK_OPEN NEG -</t>
  </si>
  <si>
    <t xml:space="preserve"> DD S1 HIGHPRESS POS KEEPPOS</t>
  </si>
  <si>
    <t xml:space="preserve"> AA S1 S2 S3 MIDPRESS POS WINSTANDARD</t>
  </si>
  <si>
    <t xml:space="preserve"> AA STAN_CORNER POS SHOTON SHOTBLOCK</t>
  </si>
  <si>
    <t xml:space="preserve"> AA STAN_FK NEG WINOPENSTAN</t>
  </si>
  <si>
    <t xml:space="preserve"> DD FK_OPEN POS WINOPENSTAN</t>
  </si>
  <si>
    <t xml:space="preserve"> AA THROWIN_OPEN POS ENTRY</t>
  </si>
  <si>
    <t xml:space="preserve"> DD S1 HIGHPRESS POS -</t>
  </si>
  <si>
    <t xml:space="preserve"> DD THROWIN_OPEN POS -</t>
  </si>
  <si>
    <t xml:space="preserve"> DA S2 POS -</t>
  </si>
  <si>
    <t xml:space="preserve"> AD S1 S2 POS -</t>
  </si>
  <si>
    <t xml:space="preserve"> DD THROWIN_OPEN NEG -</t>
  </si>
  <si>
    <t xml:space="preserve"> DA S1 NEG KEEPPOS</t>
  </si>
  <si>
    <t xml:space="preserve"> AA S1 S2 MIDPRESS POS WINSTANDARD</t>
  </si>
  <si>
    <t xml:space="preserve"> AA STAN_FK POS WINSTANDARD</t>
  </si>
  <si>
    <t xml:space="preserve"> AA STAN_CORNER NEG -</t>
  </si>
  <si>
    <t xml:space="preserve"> DD STAN_CORNER NEG SHOTON SHOTGOAL</t>
  </si>
  <si>
    <t xml:space="preserve"> AA S1 HIGHPRESS NEG -</t>
  </si>
  <si>
    <t xml:space="preserve"> DD THROWIN_OPEN POS WINOPENSTAN</t>
  </si>
  <si>
    <t xml:space="preserve"> AD S2 POS KEEPPOS</t>
  </si>
  <si>
    <t xml:space="preserve"> AA FK_OPEN POS KEEPPOS</t>
  </si>
  <si>
    <t xml:space="preserve"> AA S1 S2 HIGHPRESS NEG -</t>
  </si>
  <si>
    <t xml:space="preserve"> DD THROWIN_OPEN POS KEEPPOS</t>
  </si>
  <si>
    <t xml:space="preserve"> AA S2 MIDPRESS NEG -</t>
  </si>
  <si>
    <t xml:space="preserve"> AA THROWIN_OPEN NEG WINOPENSTAN</t>
  </si>
  <si>
    <t xml:space="preserve"> AD S2 S3 NEG ENTRY</t>
  </si>
  <si>
    <t xml:space="preserve"> AA GK_OPENSHORT NEG -</t>
  </si>
  <si>
    <t xml:space="preserve"> AD S2 POS -</t>
  </si>
  <si>
    <t xml:space="preserve"> DD S2 MIDPRESS POS KEEPPOS</t>
  </si>
  <si>
    <t xml:space="preserve"> DD S1 S3 HIGHPRESS NEG SHOTON SHOTOFF</t>
  </si>
  <si>
    <t xml:space="preserve"> AA GK_OPENSHORT NEG WINOPENSTAN</t>
  </si>
  <si>
    <t xml:space="preserve"> DD S2 MIDPRESS POS -</t>
  </si>
  <si>
    <t xml:space="preserve"> DA S2 S3 POS ENTRY</t>
  </si>
  <si>
    <t xml:space="preserve"> AA STAN_CORNER POS SHOTOFF</t>
  </si>
  <si>
    <t xml:space="preserve"> DD GK_OPENSHORT POS KEEPPOS</t>
  </si>
  <si>
    <t xml:space="preserve"> DD S1 GK_SHORT HIGHPRESS POS KEEPPOS</t>
  </si>
  <si>
    <t xml:space="preserve"> AA S2 MIDPRESS NEG KEEPPOS</t>
  </si>
  <si>
    <t xml:space="preserve"> AA FK_OPEN POS WINOPENSTAN</t>
  </si>
  <si>
    <t xml:space="preserve"> DD S1 GK_SHORT HIGHPRESS POS -</t>
  </si>
  <si>
    <t xml:space="preserve"> DA S2 S3 POS WINSTANDARD</t>
  </si>
  <si>
    <t xml:space="preserve"> AA STAN_CORNER NEG KEEPPOS</t>
  </si>
  <si>
    <t xml:space="preserve"> DD S1 S2 S3 HIGHPRESS NEG SHOTOFF</t>
  </si>
  <si>
    <t xml:space="preserve"> AA GK_OPENSHORT POS KEEPPOS</t>
  </si>
  <si>
    <t xml:space="preserve"> AD S2 S3 POS -</t>
  </si>
  <si>
    <t xml:space="preserve"> DA S1 S2 NEG KEEPPOS</t>
  </si>
  <si>
    <t xml:space="preserve"> AA FK_OPEN POS ENTRY</t>
  </si>
  <si>
    <t xml:space="preserve"> DD GK_OPENSHORT NEG ENTRY</t>
  </si>
  <si>
    <t xml:space="preserve"> AA S1 GK_SHORT HIGHPRESS NEG -</t>
  </si>
  <si>
    <t xml:space="preserve"> DA S2 NEG -</t>
  </si>
  <si>
    <t xml:space="preserve"> DD FK_OPEN NEG WINOPENSTAN</t>
  </si>
  <si>
    <t xml:space="preserve"> AA THROWIN_OPEN POS WINOPENSTAN</t>
  </si>
  <si>
    <t xml:space="preserve"> AA S2 S3 MIDPRESS POS WINSTANDARD</t>
  </si>
  <si>
    <t xml:space="preserve"> AD S1 S2 POS KEEPPOS</t>
  </si>
  <si>
    <t xml:space="preserve"> AD S1 S2 NEG -</t>
  </si>
  <si>
    <t xml:space="preserve"> DA S2 S3 NEG -</t>
  </si>
  <si>
    <t xml:space="preserve"> AD S1 POS -</t>
  </si>
  <si>
    <t>1.</t>
  </si>
  <si>
    <t>AD</t>
  </si>
  <si>
    <t>S1</t>
  </si>
  <si>
    <t>S2</t>
  </si>
  <si>
    <t>S3</t>
  </si>
  <si>
    <t>THROWIN_OPEN</t>
  </si>
  <si>
    <t>GK_SHORT</t>
  </si>
  <si>
    <t>FK_OPEN</t>
  </si>
  <si>
    <t>GK_OPENSHORT</t>
  </si>
  <si>
    <t>LOWPRESS</t>
  </si>
  <si>
    <t>STAN_KICKOFF</t>
  </si>
  <si>
    <t>STAN_CORNER</t>
  </si>
  <si>
    <t>STAN_FK</t>
  </si>
  <si>
    <t>WINOPENSTAN</t>
  </si>
  <si>
    <t>WINSTANDARD</t>
  </si>
  <si>
    <t>ENTRY</t>
  </si>
  <si>
    <t>SHOTON</t>
  </si>
  <si>
    <t>SHOTOFF</t>
  </si>
  <si>
    <t>M3</t>
  </si>
  <si>
    <t>M1</t>
  </si>
  <si>
    <t>L2/1</t>
  </si>
  <si>
    <t>L3</t>
  </si>
  <si>
    <t>R2/1</t>
  </si>
  <si>
    <t>M2/1</t>
  </si>
  <si>
    <t>L2/2</t>
  </si>
  <si>
    <t>M2/2</t>
  </si>
  <si>
    <t xml:space="preserve"> DD STAN_KICKOFF POS WINOPENSTAN</t>
  </si>
  <si>
    <t xml:space="preserve"> AD S2 S3 NEG SHOTGOAL</t>
  </si>
  <si>
    <t xml:space="preserve"> AA S1 S2 S3 MIDPRESS POS SHOTOFF</t>
  </si>
  <si>
    <t xml:space="preserve"> DD GK_OPENSHORT POS WINOPENSTAN</t>
  </si>
  <si>
    <t xml:space="preserve"> AA S1 S2 GK_SHORT MIDPRESS NEG -</t>
  </si>
  <si>
    <t xml:space="preserve"> AA FK_OPEN MIDPRESS NEG -</t>
  </si>
  <si>
    <t xml:space="preserve"> AD S1 S2 S3 NEG SHOTOFF</t>
  </si>
  <si>
    <t xml:space="preserve"> AA GK_OPENSHORT POS ENTRY</t>
  </si>
  <si>
    <t xml:space="preserve"> DD GK_OPENSHORT NEG WINOPENSTAN</t>
  </si>
  <si>
    <t xml:space="preserve"> DD THROWIN_OPEN NEG ENTRY</t>
  </si>
  <si>
    <t xml:space="preserve"> AA S2 S3 MIDPRESS NEG KEEPPOS</t>
  </si>
  <si>
    <t xml:space="preserve"> AD S2 S3 NEG SHOTOFF</t>
  </si>
  <si>
    <t xml:space="preserve"> AA S1 S2 S3 HIGHPRESS NEG -</t>
  </si>
  <si>
    <t xml:space="preserve"> AD S1 S2 S3 NEG SHOTGOAL</t>
  </si>
  <si>
    <t xml:space="preserve"> AA STAN_KICKOFF NEG KEEPPOS</t>
  </si>
  <si>
    <t xml:space="preserve"> AA THROWIN_OPEN POS SHOTOFF</t>
  </si>
  <si>
    <t xml:space="preserve"> DD GK_OPENSHORT NEG SHOTOFF</t>
  </si>
  <si>
    <t xml:space="preserve"> AD POS KEEPPOS</t>
  </si>
  <si>
    <t xml:space="preserve"> AA S1 S2 S3 HIGHPRESS POS ENTRY</t>
  </si>
  <si>
    <t xml:space="preserve"> AA S2 S3 MIDPRESS NEG -</t>
  </si>
  <si>
    <t xml:space="preserve"> DD GK_OPENSHORT NEG -</t>
  </si>
  <si>
    <t xml:space="preserve"> DD GK_OPENSHORT POS -</t>
  </si>
  <si>
    <t xml:space="preserve"> DA S3 POS SHOTON</t>
  </si>
  <si>
    <t xml:space="preserve"> AA S2 S3 GK_SHORT HIGHPRESS NEG -</t>
  </si>
  <si>
    <t xml:space="preserve"> DD S1 S2 S3 HIGHPRESS NEG ENTRY</t>
  </si>
  <si>
    <t xml:space="preserve"> DD S1 S2 MIDPRESS POS -</t>
  </si>
  <si>
    <t xml:space="preserve"> DA S1 NEG -</t>
  </si>
  <si>
    <t xml:space="preserve"> AA S1 S2 S3 GK_SHORT HIGHPRESS NEG -</t>
  </si>
  <si>
    <t xml:space="preserve"> DA S1 S2 S3 NEG -</t>
  </si>
  <si>
    <t xml:space="preserve"> DA S3 POS SHOTBLOCK</t>
  </si>
  <si>
    <t xml:space="preserve"> AD S2 NEG WINSTANDARD</t>
  </si>
  <si>
    <t xml:space="preserve"> DD STAN_FK NEG WINOPENSTAN</t>
  </si>
  <si>
    <t xml:space="preserve"> AD S1 S2 S3 POS -</t>
  </si>
  <si>
    <t xml:space="preserve"> DD S2 S3 LOWPRESS NEG WINSTANDARD</t>
  </si>
  <si>
    <t xml:space="preserve"> DD STAN_FK NEG SHOTBLOCK</t>
  </si>
  <si>
    <t xml:space="preserve"> DD S1 S2 HIGHPRESS POS KEEPPOS</t>
  </si>
  <si>
    <t xml:space="preserve"> AD S2 S3 NEG SHOTBLOCK</t>
  </si>
  <si>
    <t xml:space="preserve"> DA S1 S2 NEG -</t>
  </si>
  <si>
    <t xml:space="preserve"> DD S1 S2 S3 HIGHPRESS POS -</t>
  </si>
  <si>
    <t xml:space="preserve"> DD S2 S3 MIDPRESS NEG SHOTON</t>
  </si>
  <si>
    <t xml:space="preserve"> DD FK_OPEN NEG SHOTBLOCK SHOTOFF</t>
  </si>
  <si>
    <t>2.</t>
  </si>
  <si>
    <t>R3</t>
  </si>
  <si>
    <t>R2/2</t>
  </si>
  <si>
    <t>L1</t>
  </si>
  <si>
    <t>0-5</t>
  </si>
  <si>
    <t>40-45</t>
  </si>
  <si>
    <t>0-15</t>
  </si>
  <si>
    <t>EESTI</t>
  </si>
  <si>
    <t>Pressinguid kokku</t>
  </si>
  <si>
    <t>Väravaid</t>
  </si>
  <si>
    <t>EESTI%</t>
  </si>
  <si>
    <t>OPPONENT</t>
  </si>
  <si>
    <t>OPP%</t>
  </si>
  <si>
    <t>Pealelööke</t>
  </si>
  <si>
    <t>16-30</t>
  </si>
  <si>
    <t>31-45+</t>
  </si>
  <si>
    <t>46-60</t>
  </si>
  <si>
    <t>61-75</t>
  </si>
  <si>
    <t>76-90+</t>
  </si>
  <si>
    <t>Võit</t>
  </si>
  <si>
    <t>Viik</t>
  </si>
  <si>
    <t>Kaotus</t>
  </si>
  <si>
    <t>Mänge kokku</t>
  </si>
  <si>
    <t>Väravaid löödud</t>
  </si>
  <si>
    <t>Väravaid lastud</t>
  </si>
  <si>
    <t>Keskmine</t>
  </si>
  <si>
    <t>xG löödud</t>
  </si>
  <si>
    <t>xG lastud</t>
  </si>
  <si>
    <t>6-10</t>
  </si>
  <si>
    <t>11-15</t>
  </si>
  <si>
    <t>16-20</t>
  </si>
  <si>
    <t>21-25</t>
  </si>
  <si>
    <t>26-30</t>
  </si>
  <si>
    <t>31-35</t>
  </si>
  <si>
    <t>36-40</t>
  </si>
  <si>
    <t>46-50</t>
  </si>
  <si>
    <t>51-55</t>
  </si>
  <si>
    <t>56-60</t>
  </si>
  <si>
    <t>61-65</t>
  </si>
  <si>
    <t>66-70</t>
  </si>
  <si>
    <t>71-75</t>
  </si>
  <si>
    <t>76-80</t>
  </si>
  <si>
    <t>81-85</t>
  </si>
  <si>
    <t>86-90</t>
  </si>
  <si>
    <t>VÕIT</t>
  </si>
  <si>
    <t>VIIK</t>
  </si>
  <si>
    <t>KAOTUS</t>
  </si>
  <si>
    <t>Kokku</t>
  </si>
  <si>
    <t>Pealelöök</t>
  </si>
  <si>
    <t>Värav</t>
  </si>
  <si>
    <t>Värav/Moment%</t>
  </si>
  <si>
    <t>SoT/Moment%</t>
  </si>
  <si>
    <t>S1 S2</t>
  </si>
  <si>
    <t>S1 S2 S3</t>
  </si>
  <si>
    <t>S1 S3</t>
  </si>
  <si>
    <t>S2 S3</t>
  </si>
  <si>
    <t>Win new</t>
  </si>
  <si>
    <t>Lose new</t>
  </si>
  <si>
    <t>Goal attempt</t>
  </si>
  <si>
    <t>EST GOALKICK</t>
  </si>
  <si>
    <t>EST THROWIN</t>
  </si>
  <si>
    <t>EST FKOPEN</t>
  </si>
  <si>
    <t>EST KICKOFF</t>
  </si>
  <si>
    <t>OPP GOALKICK</t>
  </si>
  <si>
    <t>OPP THROWIN</t>
  </si>
  <si>
    <t>OPP FKOPEN</t>
  </si>
  <si>
    <t>OPP KICKOFF</t>
  </si>
  <si>
    <t>EST CORNER</t>
  </si>
  <si>
    <t>EST FREEKICK</t>
  </si>
  <si>
    <t>EST PENALTY</t>
  </si>
  <si>
    <t>Goal</t>
  </si>
  <si>
    <t>OPP CORNER</t>
  </si>
  <si>
    <t>OPP FREEKICK</t>
  </si>
  <si>
    <t>OPP PENALTY</t>
  </si>
  <si>
    <t>EST</t>
  </si>
  <si>
    <t>OPP</t>
  </si>
  <si>
    <t>Entries</t>
  </si>
  <si>
    <t>Attempts</t>
  </si>
  <si>
    <t>Attempts on goal</t>
  </si>
  <si>
    <t>Shot/Goal</t>
  </si>
  <si>
    <t>SoT/Goal</t>
  </si>
  <si>
    <t>xG</t>
  </si>
  <si>
    <t>EST AA</t>
  </si>
  <si>
    <t>EST DA</t>
  </si>
  <si>
    <t>EST DD</t>
  </si>
  <si>
    <t>EST AD</t>
  </si>
  <si>
    <t xml:space="preserve">S3 </t>
  </si>
  <si>
    <t>Shot</t>
  </si>
  <si>
    <t>S3/Shot</t>
  </si>
  <si>
    <t>S3/Goal</t>
  </si>
  <si>
    <t>Shot/Moment</t>
  </si>
  <si>
    <t>Goal/Moment</t>
  </si>
  <si>
    <t>L</t>
  </si>
  <si>
    <t>M</t>
  </si>
  <si>
    <t>R</t>
  </si>
  <si>
    <t>1</t>
  </si>
  <si>
    <t>2/1</t>
  </si>
  <si>
    <t>2/2</t>
  </si>
  <si>
    <t>3</t>
  </si>
  <si>
    <t>ÜLEVAADE</t>
  </si>
  <si>
    <t>ÜLEVAADE RÜNDETEGEVUSEST</t>
  </si>
  <si>
    <t>VÄRAVA LÖÖMISE AEG</t>
  </si>
  <si>
    <t>ESIMENE VÄRAV/TULEMUS</t>
  </si>
  <si>
    <t>MOMENTUM</t>
  </si>
  <si>
    <t>XG</t>
  </si>
  <si>
    <t>XT</t>
  </si>
  <si>
    <t>PRESSING ÜLEVAADE</t>
  </si>
  <si>
    <t>PRESSING MOMENTUM</t>
  </si>
  <si>
    <t>PROGRESSION VS PRESSING</t>
  </si>
  <si>
    <t>ÜLEVAADE PÕHIMOMENTIDEST</t>
  </si>
  <si>
    <t>ATT THREAT/BOX DEFENDING</t>
  </si>
  <si>
    <t>ÜLEVAADE STANDARDITEST</t>
  </si>
  <si>
    <t>xG_EST_start</t>
  </si>
  <si>
    <t>xG_EST_final</t>
  </si>
  <si>
    <t>xG_OPP_start</t>
  </si>
  <si>
    <t>xG_OPP_final</t>
  </si>
  <si>
    <t>AEG</t>
  </si>
  <si>
    <t>Keep possession</t>
  </si>
  <si>
    <t>Lose possession</t>
  </si>
  <si>
    <t>ATT STANDARD</t>
  </si>
  <si>
    <t>DEF STANDARD</t>
  </si>
  <si>
    <t>DA MAPPING 1</t>
  </si>
  <si>
    <t>DA MAPPING 2</t>
  </si>
  <si>
    <t>DA MAPPING 1+2</t>
  </si>
  <si>
    <t>AD MAPPING 1</t>
  </si>
  <si>
    <t>AD MAPPING 2</t>
  </si>
  <si>
    <t>AD MAPPING 1+2</t>
  </si>
  <si>
    <t>1. POOLAEG</t>
  </si>
  <si>
    <t>PALLI VÕITMINE</t>
  </si>
  <si>
    <t>PALLI KAOTUS</t>
  </si>
  <si>
    <t>III TSOON</t>
  </si>
  <si>
    <t>II TSOON</t>
  </si>
  <si>
    <t xml:space="preserve">II TSOON </t>
  </si>
  <si>
    <t>I TSOON</t>
  </si>
  <si>
    <t>VASAK</t>
  </si>
  <si>
    <t>KESK</t>
  </si>
  <si>
    <t>PAREM</t>
  </si>
  <si>
    <t>KOKKU</t>
  </si>
  <si>
    <t>2. POOLAEG</t>
  </si>
  <si>
    <t>ÜLEVAADE ÜLEMINEKUTEST 1</t>
  </si>
  <si>
    <t>ÜLEVAADE ÜLEMINEKUTEST 2</t>
  </si>
  <si>
    <t>DA S1</t>
  </si>
  <si>
    <t>DA S2</t>
  </si>
  <si>
    <t>DA S3</t>
  </si>
  <si>
    <t>AD S1</t>
  </si>
  <si>
    <t>AD S2</t>
  </si>
  <si>
    <t>AD 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</si>
</sst>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charset val="186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Titillium"/>
      <family val="3"/>
    </font>
    <font>
      <sz val="10"/>
      <name val="Verdana"/>
      <family val="2"/>
    </font>
    <font>
      <b/>
      <sz val="18"/>
      <color rgb="FF002060"/>
      <name val="Verdana"/>
      <family val="2"/>
    </font>
    <font>
      <b/>
      <sz val="26"/>
      <name val="Verdana"/>
      <family val="2"/>
    </font>
    <font>
      <b/>
      <sz val="14"/>
      <color rgb="FF002060"/>
      <name val="Verdana"/>
      <family val="2"/>
    </font>
    <font>
      <b/>
      <sz val="14"/>
      <name val="Verdana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67">
    <xf numFmtId="0" fontId="0" fillId="0" borderId="0" xfId="0"/>
    <xf numFmtId="49" fontId="0" fillId="0" borderId="0" xfId="0" applyNumberFormat="1"/>
    <xf numFmtId="49" fontId="0" fillId="0" borderId="3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2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0" xfId="0" applyNumberFormat="1" applyAlignment="1">
      <alignment horizontal="center"/>
    </xf>
    <xf numFmtId="49" fontId="1" fillId="0" borderId="0" xfId="0" applyNumberFormat="1" applyFont="1"/>
    <xf numFmtId="49" fontId="1" fillId="0" borderId="0" xfId="0" applyNumberFormat="1" applyFont="1" applyAlignment="1">
      <alignment horizontal="center" vertical="center"/>
    </xf>
    <xf numFmtId="49" fontId="0" fillId="0" borderId="3" xfId="0" applyNumberFormat="1" applyBorder="1" applyAlignment="1">
      <alignment vertical="center"/>
    </xf>
    <xf numFmtId="49" fontId="0" fillId="0" borderId="4" xfId="0" applyNumberFormat="1" applyBorder="1" applyAlignment="1">
      <alignment vertical="center"/>
    </xf>
    <xf numFmtId="49" fontId="0" fillId="0" borderId="5" xfId="0" applyNumberFormat="1" applyBorder="1" applyAlignment="1">
      <alignment vertical="center"/>
    </xf>
    <xf numFmtId="49" fontId="0" fillId="0" borderId="1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6" xfId="0" applyNumberFormat="1" applyBorder="1" applyAlignment="1">
      <alignment vertical="center"/>
    </xf>
    <xf numFmtId="49" fontId="0" fillId="0" borderId="7" xfId="0" applyNumberFormat="1" applyBorder="1" applyAlignment="1">
      <alignment vertical="center"/>
    </xf>
    <xf numFmtId="49" fontId="0" fillId="0" borderId="8" xfId="0" applyNumberFormat="1" applyBorder="1" applyAlignme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0" borderId="5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0" fillId="0" borderId="0" xfId="0" applyAlignment="1">
      <alignment vertical="center"/>
    </xf>
    <xf numFmtId="164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4" fillId="0" borderId="0" xfId="1" applyFont="1" applyAlignment="1">
      <alignment horizontal="center"/>
    </xf>
    <xf numFmtId="0" fontId="4" fillId="0" borderId="0" xfId="1" applyFont="1"/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14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 wrapText="1"/>
    </xf>
    <xf numFmtId="0" fontId="5" fillId="0" borderId="15" xfId="1" applyFont="1" applyBorder="1" applyAlignment="1">
      <alignment horizontal="center" vertical="center"/>
    </xf>
    <xf numFmtId="0" fontId="5" fillId="0" borderId="16" xfId="1" applyFont="1" applyBorder="1" applyAlignment="1">
      <alignment horizontal="center" vertical="center"/>
    </xf>
    <xf numFmtId="0" fontId="5" fillId="0" borderId="17" xfId="1" applyFont="1" applyBorder="1" applyAlignment="1">
      <alignment horizontal="center" vertical="center"/>
    </xf>
    <xf numFmtId="0" fontId="5" fillId="0" borderId="18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4" fillId="0" borderId="0" xfId="1" applyFont="1" applyAlignment="1">
      <alignment horizontal="center"/>
    </xf>
    <xf numFmtId="2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AE86326B-33C4-4F93-AF64-81C7C76986C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ANALYSIS!$N$31</c:f>
              <c:strCache>
                <c:ptCount val="1"/>
                <c:pt idx="0">
                  <c:v>EESTI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ANALYSIS!$M$32:$M$34</c:f>
              <c:strCache>
                <c:ptCount val="3"/>
                <c:pt idx="0">
                  <c:v>VÕIT</c:v>
                </c:pt>
                <c:pt idx="1">
                  <c:v>VIIK</c:v>
                </c:pt>
                <c:pt idx="2">
                  <c:v>KAOTUS</c:v>
                </c:pt>
              </c:strCache>
            </c:strRef>
          </c:cat>
          <c:val>
            <c:numRef>
              <c:f>ANALYSIS!$N$32:$N$34</c:f>
              <c:numCache>
                <c:formatCode>0.00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E315-43EB-9FD5-A40BB3069CC8}"/>
            </c:ext>
          </c:extLst>
        </c:ser>
        <c:ser>
          <c:idx val="1"/>
          <c:order val="1"/>
          <c:tx>
            <c:strRef>
              <c:f>ANALYSIS!$O$31</c:f>
              <c:strCache>
                <c:ptCount val="1"/>
                <c:pt idx="0">
                  <c:v>OPPONENT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ANALYSIS!$M$32:$M$34</c:f>
              <c:strCache>
                <c:ptCount val="3"/>
                <c:pt idx="0">
                  <c:v>VÕIT</c:v>
                </c:pt>
                <c:pt idx="1">
                  <c:v>VIIK</c:v>
                </c:pt>
                <c:pt idx="2">
                  <c:v>KAOTUS</c:v>
                </c:pt>
              </c:strCache>
            </c:strRef>
          </c:cat>
          <c:val>
            <c:numRef>
              <c:f>ANALYSIS!$O$32:$O$34</c:f>
              <c:numCache>
                <c:formatCode>0.00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15-43EB-9FD5-A40BB3069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2187088"/>
        <c:axId val="1522182288"/>
      </c:barChart>
      <c:catAx>
        <c:axId val="152218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2288"/>
        <c:crosses val="autoZero"/>
        <c:auto val="1"/>
        <c:lblAlgn val="ctr"/>
        <c:lblOffset val="100"/>
        <c:noMultiLvlLbl val="0"/>
      </c:catAx>
      <c:valAx>
        <c:axId val="1522182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7088"/>
        <c:crosses val="autoZero"/>
        <c:crossBetween val="between"/>
        <c:majorUnit val="1"/>
      </c:valAx>
      <c:spPr>
        <a:noFill/>
        <a:ln w="12700">
          <a:solidFill>
            <a:schemeClr val="tx1"/>
          </a:solidFill>
        </a:ln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ANALYSIS!$G$31</c:f>
              <c:strCache>
                <c:ptCount val="1"/>
                <c:pt idx="0">
                  <c:v>EESTI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70C0"/>
              </a:solidFill>
            </a:ln>
            <a:effectLst/>
          </c:spPr>
          <c:invertIfNegative val="0"/>
          <c:cat>
            <c:strRef>
              <c:f>ANALYSIS!$F$32:$F$51</c:f>
              <c:strCache>
                <c:ptCount val="20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40-45</c:v>
                </c:pt>
                <c:pt idx="9">
                  <c:v>45+</c:v>
                </c:pt>
                <c:pt idx="10">
                  <c:v>46-50</c:v>
                </c:pt>
                <c:pt idx="11">
                  <c:v>51-55</c:v>
                </c:pt>
                <c:pt idx="12">
                  <c:v>56-60</c:v>
                </c:pt>
                <c:pt idx="13">
                  <c:v>61-65</c:v>
                </c:pt>
                <c:pt idx="14">
                  <c:v>66-70</c:v>
                </c:pt>
                <c:pt idx="15">
                  <c:v>71-75</c:v>
                </c:pt>
                <c:pt idx="16">
                  <c:v>76-80</c:v>
                </c:pt>
                <c:pt idx="17">
                  <c:v>81-85</c:v>
                </c:pt>
                <c:pt idx="18">
                  <c:v>86-90</c:v>
                </c:pt>
                <c:pt idx="19">
                  <c:v>90+</c:v>
                </c:pt>
              </c:strCache>
            </c:strRef>
          </c:cat>
          <c:val>
            <c:numRef>
              <c:f>ANALYSIS!$G$32:$G$51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C-4CC8-8A60-E153B587ABCC}"/>
            </c:ext>
          </c:extLst>
        </c:ser>
        <c:ser>
          <c:idx val="1"/>
          <c:order val="1"/>
          <c:tx>
            <c:strRef>
              <c:f>ANALYSIS!$H$31</c:f>
              <c:strCache>
                <c:ptCount val="1"/>
                <c:pt idx="0">
                  <c:v>OPPONENT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ANALYSIS!$F$32:$F$51</c:f>
              <c:strCache>
                <c:ptCount val="20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40-45</c:v>
                </c:pt>
                <c:pt idx="9">
                  <c:v>45+</c:v>
                </c:pt>
                <c:pt idx="10">
                  <c:v>46-50</c:v>
                </c:pt>
                <c:pt idx="11">
                  <c:v>51-55</c:v>
                </c:pt>
                <c:pt idx="12">
                  <c:v>56-60</c:v>
                </c:pt>
                <c:pt idx="13">
                  <c:v>61-65</c:v>
                </c:pt>
                <c:pt idx="14">
                  <c:v>66-70</c:v>
                </c:pt>
                <c:pt idx="15">
                  <c:v>71-75</c:v>
                </c:pt>
                <c:pt idx="16">
                  <c:v>76-80</c:v>
                </c:pt>
                <c:pt idx="17">
                  <c:v>81-85</c:v>
                </c:pt>
                <c:pt idx="18">
                  <c:v>86-90</c:v>
                </c:pt>
                <c:pt idx="19">
                  <c:v>90+</c:v>
                </c:pt>
              </c:strCache>
            </c:strRef>
          </c:cat>
          <c:val>
            <c:numRef>
              <c:f>ANALYSIS!$H$32:$H$51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C-4CC8-8A60-E153B587A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2144848"/>
        <c:axId val="1522161648"/>
      </c:barChart>
      <c:catAx>
        <c:axId val="152214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61648"/>
        <c:crosses val="autoZero"/>
        <c:auto val="1"/>
        <c:lblAlgn val="ctr"/>
        <c:lblOffset val="100"/>
        <c:noMultiLvlLbl val="0"/>
      </c:catAx>
      <c:valAx>
        <c:axId val="1522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44848"/>
        <c:crosses val="autoZero"/>
        <c:crossBetween val="between"/>
        <c:maj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44681047922699E-2"/>
          <c:y val="5.9012850607933744E-2"/>
          <c:w val="0.83164725524980565"/>
          <c:h val="0.88197429878413247"/>
        </c:manualLayout>
      </c:layout>
      <c:lineChart>
        <c:grouping val="standard"/>
        <c:varyColors val="0"/>
        <c:ser>
          <c:idx val="0"/>
          <c:order val="0"/>
          <c:tx>
            <c:strRef>
              <c:f>ANALYSIS!$G$59</c:f>
              <c:strCache>
                <c:ptCount val="1"/>
                <c:pt idx="0">
                  <c:v>EESTI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strRef>
              <c:f>ANALYSIS!$F$60:$F$79</c:f>
              <c:strCache>
                <c:ptCount val="20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40-45</c:v>
                </c:pt>
                <c:pt idx="9">
                  <c:v>45+</c:v>
                </c:pt>
                <c:pt idx="10">
                  <c:v>46-50</c:v>
                </c:pt>
                <c:pt idx="11">
                  <c:v>51-55</c:v>
                </c:pt>
                <c:pt idx="12">
                  <c:v>56-60</c:v>
                </c:pt>
                <c:pt idx="13">
                  <c:v>61-65</c:v>
                </c:pt>
                <c:pt idx="14">
                  <c:v>66-70</c:v>
                </c:pt>
                <c:pt idx="15">
                  <c:v>71-75</c:v>
                </c:pt>
                <c:pt idx="16">
                  <c:v>76-80</c:v>
                </c:pt>
                <c:pt idx="17">
                  <c:v>81-85</c:v>
                </c:pt>
                <c:pt idx="18">
                  <c:v>86-90</c:v>
                </c:pt>
                <c:pt idx="19">
                  <c:v>90+</c:v>
                </c:pt>
              </c:strCache>
            </c:strRef>
          </c:cat>
          <c:val>
            <c:numRef>
              <c:f>ANALYSIS!$G$60:$G$79</c:f>
              <c:numCache>
                <c:formatCode>@</c:formatCode>
                <c:ptCount val="20"/>
                <c:pt idx="0">
                  <c:v>-6</c:v>
                </c:pt>
                <c:pt idx="1">
                  <c:v>0</c:v>
                </c:pt>
                <c:pt idx="2">
                  <c:v>-38</c:v>
                </c:pt>
                <c:pt idx="3">
                  <c:v>-17</c:v>
                </c:pt>
                <c:pt idx="4">
                  <c:v>2</c:v>
                </c:pt>
                <c:pt idx="5">
                  <c:v>9</c:v>
                </c:pt>
                <c:pt idx="6">
                  <c:v>-9</c:v>
                </c:pt>
                <c:pt idx="7">
                  <c:v>0</c:v>
                </c:pt>
                <c:pt idx="8">
                  <c:v>-1</c:v>
                </c:pt>
                <c:pt idx="9">
                  <c:v>0</c:v>
                </c:pt>
                <c:pt idx="10">
                  <c:v>10</c:v>
                </c:pt>
                <c:pt idx="11">
                  <c:v>0</c:v>
                </c:pt>
                <c:pt idx="12">
                  <c:v>-20</c:v>
                </c:pt>
                <c:pt idx="13">
                  <c:v>-10</c:v>
                </c:pt>
                <c:pt idx="14">
                  <c:v>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63-4FE1-A062-025BEA390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2187088"/>
        <c:axId val="1522182288"/>
      </c:lineChart>
      <c:catAx>
        <c:axId val="152218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2288"/>
        <c:crosses val="autoZero"/>
        <c:auto val="1"/>
        <c:lblAlgn val="ctr"/>
        <c:lblOffset val="100"/>
        <c:noMultiLvlLbl val="0"/>
      </c:catAx>
      <c:valAx>
        <c:axId val="152218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7088"/>
        <c:crosses val="autoZero"/>
        <c:crossBetween val="between"/>
      </c:valAx>
      <c:spPr>
        <a:noFill/>
        <a:ln w="127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8885662828059819"/>
          <c:y val="0.88928310580788672"/>
          <c:w val="0.10882571771083671"/>
          <c:h val="9.05317112755097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ANALYSIS!$M$59</c:f>
              <c:strCache>
                <c:ptCount val="1"/>
                <c:pt idx="0">
                  <c:v>EST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ANALYSIS!$L$60:$L$79</c:f>
              <c:strCache>
                <c:ptCount val="20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40-45</c:v>
                </c:pt>
                <c:pt idx="9">
                  <c:v>45+</c:v>
                </c:pt>
                <c:pt idx="10">
                  <c:v>46-50</c:v>
                </c:pt>
                <c:pt idx="11">
                  <c:v>51-55</c:v>
                </c:pt>
                <c:pt idx="12">
                  <c:v>56-60</c:v>
                </c:pt>
                <c:pt idx="13">
                  <c:v>61-65</c:v>
                </c:pt>
                <c:pt idx="14">
                  <c:v>66-70</c:v>
                </c:pt>
                <c:pt idx="15">
                  <c:v>71-75</c:v>
                </c:pt>
                <c:pt idx="16">
                  <c:v>76-80</c:v>
                </c:pt>
                <c:pt idx="17">
                  <c:v>81-85</c:v>
                </c:pt>
                <c:pt idx="18">
                  <c:v>86-90</c:v>
                </c:pt>
                <c:pt idx="19">
                  <c:v>90+</c:v>
                </c:pt>
              </c:strCache>
            </c:strRef>
          </c:cat>
          <c:val>
            <c:numRef>
              <c:f>ANALYSIS!$M$60:$M$79</c:f>
              <c:numCache>
                <c:formatCode>0.00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4-4A5A-B68B-416457C61053}"/>
            </c:ext>
          </c:extLst>
        </c:ser>
        <c:ser>
          <c:idx val="1"/>
          <c:order val="1"/>
          <c:tx>
            <c:strRef>
              <c:f>ANALYSIS!$N$59</c:f>
              <c:strCache>
                <c:ptCount val="1"/>
                <c:pt idx="0">
                  <c:v>OPP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ANALYSIS!$L$60:$L$79</c:f>
              <c:strCache>
                <c:ptCount val="20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40-45</c:v>
                </c:pt>
                <c:pt idx="9">
                  <c:v>45+</c:v>
                </c:pt>
                <c:pt idx="10">
                  <c:v>46-50</c:v>
                </c:pt>
                <c:pt idx="11">
                  <c:v>51-55</c:v>
                </c:pt>
                <c:pt idx="12">
                  <c:v>56-60</c:v>
                </c:pt>
                <c:pt idx="13">
                  <c:v>61-65</c:v>
                </c:pt>
                <c:pt idx="14">
                  <c:v>66-70</c:v>
                </c:pt>
                <c:pt idx="15">
                  <c:v>71-75</c:v>
                </c:pt>
                <c:pt idx="16">
                  <c:v>76-80</c:v>
                </c:pt>
                <c:pt idx="17">
                  <c:v>81-85</c:v>
                </c:pt>
                <c:pt idx="18">
                  <c:v>86-90</c:v>
                </c:pt>
                <c:pt idx="19">
                  <c:v>90+</c:v>
                </c:pt>
              </c:strCache>
            </c:strRef>
          </c:cat>
          <c:val>
            <c:numRef>
              <c:f>ANALYSIS!$N$60:$N$79</c:f>
              <c:numCache>
                <c:formatCode>0.00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4-4A5A-B68B-416457C61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2144848"/>
        <c:axId val="1522161648"/>
      </c:lineChart>
      <c:catAx>
        <c:axId val="152214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61648"/>
        <c:crosses val="autoZero"/>
        <c:auto val="1"/>
        <c:lblAlgn val="ctr"/>
        <c:lblOffset val="100"/>
        <c:noMultiLvlLbl val="0"/>
      </c:catAx>
      <c:valAx>
        <c:axId val="1522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4484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2187088"/>
        <c:axId val="1522182288"/>
      </c:barChart>
      <c:catAx>
        <c:axId val="1522187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2288"/>
        <c:crosses val="autoZero"/>
        <c:auto val="1"/>
        <c:lblAlgn val="ctr"/>
        <c:lblOffset val="100"/>
        <c:noMultiLvlLbl val="0"/>
      </c:catAx>
      <c:valAx>
        <c:axId val="152218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7088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2187088"/>
        <c:axId val="1522182288"/>
      </c:barChart>
      <c:catAx>
        <c:axId val="1522187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2288"/>
        <c:crosses val="autoZero"/>
        <c:auto val="1"/>
        <c:lblAlgn val="ctr"/>
        <c:lblOffset val="100"/>
        <c:noMultiLvlLbl val="0"/>
      </c:catAx>
      <c:valAx>
        <c:axId val="152218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1522187088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13855</xdr:colOff>
      <xdr:row>51</xdr:row>
      <xdr:rowOff>8214</xdr:rowOff>
    </xdr:from>
    <xdr:to>
      <xdr:col>10</xdr:col>
      <xdr:colOff>595744</xdr:colOff>
      <xdr:row>53</xdr:row>
      <xdr:rowOff>178524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3839220-1305-8A12-73AF-998985C693BD}"/>
            </a:ext>
          </a:extLst>
        </xdr:cNvPr>
        <xdr:cNvSpPr txBox="1"/>
      </xdr:nvSpPr>
      <xdr:spPr>
        <a:xfrm>
          <a:off x="13855" y="9193778"/>
          <a:ext cx="6677889" cy="55823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ÜLEVAADE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8963</xdr:colOff>
      <xdr:row>55</xdr:row>
      <xdr:rowOff>26894</xdr:rowOff>
    </xdr:from>
    <xdr:to>
      <xdr:col>7</xdr:col>
      <xdr:colOff>600635</xdr:colOff>
      <xdr:row>56</xdr:row>
      <xdr:rowOff>170330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6FC29CE-6598-4410-B73F-9D920F5D2C36}"/>
            </a:ext>
          </a:extLst>
        </xdr:cNvPr>
        <xdr:cNvSpPr txBox="1"/>
      </xdr:nvSpPr>
      <xdr:spPr>
        <a:xfrm>
          <a:off x="1837763" y="9923929"/>
          <a:ext cx="3030072" cy="32273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MÄNGUD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</xdr:col>
      <xdr:colOff>764</xdr:colOff>
      <xdr:row>59</xdr:row>
      <xdr:rowOff>12487</xdr:rowOff>
    </xdr:from>
    <xdr:to>
      <xdr:col>4</xdr:col>
      <xdr:colOff>7391</xdr:colOff>
      <xdr:row>61</xdr:row>
      <xdr:rowOff>12486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DE738DC-916C-4F93-9008-9620F84D7923}"/>
            </a:ext>
          </a:extLst>
        </xdr:cNvPr>
        <xdr:cNvSpPr txBox="1"/>
      </xdr:nvSpPr>
      <xdr:spPr>
        <a:xfrm>
          <a:off x="610364" y="10762549"/>
          <a:ext cx="1835427" cy="36341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>
              <a:latin typeface="Titillium Bd" panose="00000800000000000000" pitchFamily="50" charset="0"/>
            </a:rPr>
            <a:t>VÕITE</a:t>
          </a:r>
          <a:endParaRPr lang="et-EE" sz="18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4</xdr:col>
      <xdr:colOff>19114</xdr:colOff>
      <xdr:row>59</xdr:row>
      <xdr:rowOff>1893</xdr:rowOff>
    </xdr:from>
    <xdr:to>
      <xdr:col>7</xdr:col>
      <xdr:colOff>12488</xdr:colOff>
      <xdr:row>61</xdr:row>
      <xdr:rowOff>1892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1D6FF4D-3D6C-4D82-8618-4A745BD21710}"/>
            </a:ext>
          </a:extLst>
        </xdr:cNvPr>
        <xdr:cNvSpPr txBox="1"/>
      </xdr:nvSpPr>
      <xdr:spPr>
        <a:xfrm>
          <a:off x="2457514" y="10751955"/>
          <a:ext cx="1822174" cy="36341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>
              <a:latin typeface="Titillium Bd" panose="00000800000000000000" pitchFamily="50" charset="0"/>
            </a:rPr>
            <a:t>VIIKE</a:t>
          </a:r>
          <a:endParaRPr lang="et-EE" sz="18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7</xdr:col>
      <xdr:colOff>15147</xdr:colOff>
      <xdr:row>58</xdr:row>
      <xdr:rowOff>180033</xdr:rowOff>
    </xdr:from>
    <xdr:to>
      <xdr:col>10</xdr:col>
      <xdr:colOff>0</xdr:colOff>
      <xdr:row>60</xdr:row>
      <xdr:rowOff>180033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85E3D62-3AC3-4D3F-BE82-59B02491FC53}"/>
            </a:ext>
          </a:extLst>
        </xdr:cNvPr>
        <xdr:cNvSpPr txBox="1"/>
      </xdr:nvSpPr>
      <xdr:spPr>
        <a:xfrm>
          <a:off x="4282347" y="10748387"/>
          <a:ext cx="1813653" cy="36341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>
              <a:latin typeface="Titillium Bd" panose="00000800000000000000" pitchFamily="50" charset="0"/>
            </a:rPr>
            <a:t>KAOTUSI</a:t>
          </a:r>
          <a:endParaRPr lang="et-EE" sz="18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</xdr:col>
      <xdr:colOff>5897</xdr:colOff>
      <xdr:row>66</xdr:row>
      <xdr:rowOff>975</xdr:rowOff>
    </xdr:from>
    <xdr:to>
      <xdr:col>5</xdr:col>
      <xdr:colOff>8965</xdr:colOff>
      <xdr:row>68</xdr:row>
      <xdr:rowOff>973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84AA92-2E4D-4BAE-A7AF-7124077136AA}"/>
            </a:ext>
          </a:extLst>
        </xdr:cNvPr>
        <xdr:cNvSpPr txBox="1"/>
      </xdr:nvSpPr>
      <xdr:spPr>
        <a:xfrm>
          <a:off x="615497" y="12101535"/>
          <a:ext cx="2441468" cy="36575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700">
              <a:latin typeface="Titillium Bd" panose="00000800000000000000" pitchFamily="50" charset="0"/>
            </a:rPr>
            <a:t>LÖÖDUD : LASTUD</a:t>
          </a:r>
          <a:endParaRPr lang="et-EE" sz="17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</xdr:col>
      <xdr:colOff>19820</xdr:colOff>
      <xdr:row>72</xdr:row>
      <xdr:rowOff>0</xdr:rowOff>
    </xdr:from>
    <xdr:to>
      <xdr:col>5</xdr:col>
      <xdr:colOff>0</xdr:colOff>
      <xdr:row>75</xdr:row>
      <xdr:rowOff>172353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98309BB-2276-4347-A8BA-BB03EA8F8C00}"/>
            </a:ext>
          </a:extLst>
        </xdr:cNvPr>
        <xdr:cNvSpPr txBox="1"/>
      </xdr:nvSpPr>
      <xdr:spPr>
        <a:xfrm>
          <a:off x="648470" y="13058775"/>
          <a:ext cx="2494780" cy="71527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700">
              <a:latin typeface="Titillium Bd" panose="00000800000000000000" pitchFamily="50" charset="0"/>
            </a:rPr>
            <a:t>KESKMINE</a:t>
          </a:r>
          <a:br>
            <a:rPr lang="en-US" sz="1700">
              <a:latin typeface="Titillium Bd" panose="00000800000000000000" pitchFamily="50" charset="0"/>
            </a:rPr>
          </a:br>
          <a:r>
            <a:rPr lang="en-US" sz="1700">
              <a:latin typeface="Titillium Bd" panose="00000800000000000000" pitchFamily="50" charset="0"/>
            </a:rPr>
            <a:t>LÖÖDUD : LASTUD</a:t>
          </a:r>
          <a:endParaRPr lang="et-EE" sz="17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7</xdr:col>
      <xdr:colOff>17929</xdr:colOff>
      <xdr:row>66</xdr:row>
      <xdr:rowOff>6223</xdr:rowOff>
    </xdr:from>
    <xdr:to>
      <xdr:col>9</xdr:col>
      <xdr:colOff>606481</xdr:colOff>
      <xdr:row>68</xdr:row>
      <xdr:rowOff>5084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AD516C4-0EBE-4F8F-AC70-815D21AD26CF}"/>
            </a:ext>
          </a:extLst>
        </xdr:cNvPr>
        <xdr:cNvSpPr txBox="1"/>
      </xdr:nvSpPr>
      <xdr:spPr>
        <a:xfrm>
          <a:off x="4285129" y="12106783"/>
          <a:ext cx="1807752" cy="364621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700">
              <a:latin typeface="Titillium Bd" panose="00000800000000000000" pitchFamily="50" charset="0"/>
            </a:rPr>
            <a:t>xG : xGa</a:t>
          </a:r>
          <a:endParaRPr lang="et-EE" sz="1700">
            <a:latin typeface="Titillium Bd" panose="00000800000000000000" pitchFamily="50" charset="0"/>
          </a:endParaRPr>
        </a:p>
      </xdr:txBody>
    </xdr:sp>
    <xdr:clientData/>
  </xdr:twoCellAnchor>
  <xdr:oneCellAnchor>
    <xdr:from>
      <xdr:col>8</xdr:col>
      <xdr:colOff>21771</xdr:colOff>
      <xdr:row>101</xdr:row>
      <xdr:rowOff>87085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B1F8C968-78A4-223C-B355-42B201BC8A1F}"/>
            </a:ext>
          </a:extLst>
        </xdr:cNvPr>
        <xdr:cNvSpPr txBox="1"/>
      </xdr:nvSpPr>
      <xdr:spPr>
        <a:xfrm>
          <a:off x="4898571" y="188105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t-EE" sz="1100"/>
        </a:p>
      </xdr:txBody>
    </xdr:sp>
    <xdr:clientData/>
  </xdr:oneCellAnchor>
  <xdr:twoCellAnchor>
    <xdr:from>
      <xdr:col>1</xdr:col>
      <xdr:colOff>9091</xdr:colOff>
      <xdr:row>107</xdr:row>
      <xdr:rowOff>8720</xdr:rowOff>
    </xdr:from>
    <xdr:to>
      <xdr:col>10</xdr:col>
      <xdr:colOff>0</xdr:colOff>
      <xdr:row>120</xdr:row>
      <xdr:rowOff>15645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506526-BE01-4F19-BF51-25AAA3905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98</xdr:row>
      <xdr:rowOff>21774</xdr:rowOff>
    </xdr:from>
    <xdr:to>
      <xdr:col>10</xdr:col>
      <xdr:colOff>595746</xdr:colOff>
      <xdr:row>100</xdr:row>
      <xdr:rowOff>160315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129C5BA-642E-43BD-9213-3DA3C3DC27B1}"/>
            </a:ext>
          </a:extLst>
        </xdr:cNvPr>
        <xdr:cNvSpPr txBox="1"/>
      </xdr:nvSpPr>
      <xdr:spPr>
        <a:xfrm>
          <a:off x="0" y="18190031"/>
          <a:ext cx="6691746" cy="50865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ÜLEVAADE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8658</xdr:colOff>
      <xdr:row>126</xdr:row>
      <xdr:rowOff>9955</xdr:rowOff>
    </xdr:from>
    <xdr:to>
      <xdr:col>10</xdr:col>
      <xdr:colOff>4763</xdr:colOff>
      <xdr:row>138</xdr:row>
      <xdr:rowOff>185054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B824A05-03B1-4373-8EE5-EDC591A94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8661</xdr:colOff>
      <xdr:row>154</xdr:row>
      <xdr:rowOff>10382</xdr:rowOff>
    </xdr:from>
    <xdr:to>
      <xdr:col>9</xdr:col>
      <xdr:colOff>604840</xdr:colOff>
      <xdr:row>166</xdr:row>
      <xdr:rowOff>176205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7EBD614C-5807-443C-97B1-929E2C419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27710</xdr:colOff>
      <xdr:row>146</xdr:row>
      <xdr:rowOff>5936</xdr:rowOff>
    </xdr:from>
    <xdr:to>
      <xdr:col>10</xdr:col>
      <xdr:colOff>595746</xdr:colOff>
      <xdr:row>149</xdr:row>
      <xdr:rowOff>5938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CE7985F5-7B87-4A9B-B0DE-3533F418A214}"/>
            </a:ext>
          </a:extLst>
        </xdr:cNvPr>
        <xdr:cNvSpPr txBox="1"/>
      </xdr:nvSpPr>
      <xdr:spPr>
        <a:xfrm>
          <a:off x="27710" y="27056936"/>
          <a:ext cx="6664036" cy="55517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ÜLEVAADE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8225</xdr:colOff>
      <xdr:row>173</xdr:row>
      <xdr:rowOff>3450</xdr:rowOff>
    </xdr:from>
    <xdr:to>
      <xdr:col>9</xdr:col>
      <xdr:colOff>604838</xdr:colOff>
      <xdr:row>185</xdr:row>
      <xdr:rowOff>176203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FED3F097-7770-4C99-9A4E-5EC153530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15240</xdr:colOff>
      <xdr:row>103</xdr:row>
      <xdr:rowOff>12754</xdr:rowOff>
    </xdr:from>
    <xdr:to>
      <xdr:col>10</xdr:col>
      <xdr:colOff>594360</xdr:colOff>
      <xdr:row>105</xdr:row>
      <xdr:rowOff>40464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7E0B2974-58DD-4D18-AADE-CE6553A82BF3}"/>
            </a:ext>
          </a:extLst>
        </xdr:cNvPr>
        <xdr:cNvSpPr txBox="1"/>
      </xdr:nvSpPr>
      <xdr:spPr>
        <a:xfrm>
          <a:off x="15240" y="19106297"/>
          <a:ext cx="6675120" cy="39782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Esimene värav / lõpptulemus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0</xdr:col>
      <xdr:colOff>15240</xdr:colOff>
      <xdr:row>122</xdr:row>
      <xdr:rowOff>18004</xdr:rowOff>
    </xdr:from>
    <xdr:to>
      <xdr:col>10</xdr:col>
      <xdr:colOff>594360</xdr:colOff>
      <xdr:row>124</xdr:row>
      <xdr:rowOff>45714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2F2AB9AC-7BB0-4A14-904D-61BDE82F775A}"/>
            </a:ext>
          </a:extLst>
        </xdr:cNvPr>
        <xdr:cNvSpPr txBox="1"/>
      </xdr:nvSpPr>
      <xdr:spPr>
        <a:xfrm>
          <a:off x="15240" y="22627633"/>
          <a:ext cx="6675120" cy="39782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Värava</a:t>
          </a:r>
          <a:r>
            <a:rPr lang="en-US" sz="2400" b="0" baseline="0">
              <a:latin typeface="Titillium Bd" panose="00000800000000000000" pitchFamily="50" charset="0"/>
            </a:rPr>
            <a:t> löömise hetk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0</xdr:col>
      <xdr:colOff>21772</xdr:colOff>
      <xdr:row>150</xdr:row>
      <xdr:rowOff>44627</xdr:rowOff>
    </xdr:from>
    <xdr:to>
      <xdr:col>10</xdr:col>
      <xdr:colOff>600892</xdr:colOff>
      <xdr:row>152</xdr:row>
      <xdr:rowOff>72335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872A2A98-43BC-4C8A-8582-B789D6A40E8F}"/>
            </a:ext>
          </a:extLst>
        </xdr:cNvPr>
        <xdr:cNvSpPr txBox="1"/>
      </xdr:nvSpPr>
      <xdr:spPr>
        <a:xfrm>
          <a:off x="21772" y="27835856"/>
          <a:ext cx="6675120" cy="39782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Momentum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0</xdr:col>
      <xdr:colOff>10886</xdr:colOff>
      <xdr:row>169</xdr:row>
      <xdr:rowOff>15234</xdr:rowOff>
    </xdr:from>
    <xdr:to>
      <xdr:col>10</xdr:col>
      <xdr:colOff>590006</xdr:colOff>
      <xdr:row>171</xdr:row>
      <xdr:rowOff>45119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3FD38535-D084-4D9E-BC77-68865D6D08CA}"/>
            </a:ext>
          </a:extLst>
        </xdr:cNvPr>
        <xdr:cNvSpPr txBox="1"/>
      </xdr:nvSpPr>
      <xdr:spPr>
        <a:xfrm>
          <a:off x="10886" y="31322548"/>
          <a:ext cx="6675120" cy="4000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Expected</a:t>
          </a:r>
          <a:r>
            <a:rPr lang="en-US" sz="2400" b="0" baseline="0">
              <a:latin typeface="Titillium Bd" panose="00000800000000000000" pitchFamily="50" charset="0"/>
            </a:rPr>
            <a:t> Goals (xG)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7</xdr:col>
      <xdr:colOff>12775</xdr:colOff>
      <xdr:row>72</xdr:row>
      <xdr:rowOff>0</xdr:rowOff>
    </xdr:from>
    <xdr:to>
      <xdr:col>10</xdr:col>
      <xdr:colOff>12775</xdr:colOff>
      <xdr:row>75</xdr:row>
      <xdr:rowOff>174740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60F4837-B7D2-4F61-9B23-5E6E84B4885B}"/>
            </a:ext>
          </a:extLst>
        </xdr:cNvPr>
        <xdr:cNvSpPr txBox="1"/>
      </xdr:nvSpPr>
      <xdr:spPr>
        <a:xfrm>
          <a:off x="4413325" y="13058775"/>
          <a:ext cx="1885950" cy="71766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700">
              <a:latin typeface="Titillium Bd" panose="00000800000000000000" pitchFamily="50" charset="0"/>
            </a:rPr>
            <a:t>KESKMINE</a:t>
          </a:r>
          <a:br>
            <a:rPr lang="en-US" sz="1700">
              <a:latin typeface="Titillium Bd" panose="00000800000000000000" pitchFamily="50" charset="0"/>
            </a:rPr>
          </a:br>
          <a:r>
            <a:rPr lang="en-US" sz="1700">
              <a:latin typeface="Titillium Bd" panose="00000800000000000000" pitchFamily="50" charset="0"/>
            </a:rPr>
            <a:t>xG : xGA</a:t>
          </a:r>
          <a:endParaRPr lang="et-EE" sz="17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19793</xdr:colOff>
      <xdr:row>3</xdr:row>
      <xdr:rowOff>13862</xdr:rowOff>
    </xdr:from>
    <xdr:to>
      <xdr:col>21</xdr:col>
      <xdr:colOff>587829</xdr:colOff>
      <xdr:row>6</xdr:row>
      <xdr:rowOff>13864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4D68C650-8D9D-42EC-8A1E-44C0F545DB2C}"/>
            </a:ext>
          </a:extLst>
        </xdr:cNvPr>
        <xdr:cNvSpPr txBox="1"/>
      </xdr:nvSpPr>
      <xdr:spPr>
        <a:xfrm>
          <a:off x="6725393" y="554189"/>
          <a:ext cx="6664036" cy="54033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ÜLEVAADE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13855</xdr:colOff>
      <xdr:row>7</xdr:row>
      <xdr:rowOff>98273</xdr:rowOff>
    </xdr:from>
    <xdr:to>
      <xdr:col>21</xdr:col>
      <xdr:colOff>592975</xdr:colOff>
      <xdr:row>9</xdr:row>
      <xdr:rowOff>125981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D1404F89-E867-4B24-8ACF-88F30C4B99D8}"/>
            </a:ext>
          </a:extLst>
        </xdr:cNvPr>
        <xdr:cNvSpPr txBox="1"/>
      </xdr:nvSpPr>
      <xdr:spPr>
        <a:xfrm>
          <a:off x="6719455" y="1378433"/>
          <a:ext cx="6675120" cy="39346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Ülevaade põhimomentidest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21772</xdr:colOff>
      <xdr:row>51</xdr:row>
      <xdr:rowOff>10890</xdr:rowOff>
    </xdr:from>
    <xdr:to>
      <xdr:col>21</xdr:col>
      <xdr:colOff>589808</xdr:colOff>
      <xdr:row>53</xdr:row>
      <xdr:rowOff>163292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A7701147-A9F1-4305-88D4-66CB773C546D}"/>
            </a:ext>
          </a:extLst>
        </xdr:cNvPr>
        <xdr:cNvSpPr txBox="1"/>
      </xdr:nvSpPr>
      <xdr:spPr>
        <a:xfrm>
          <a:off x="6727372" y="9448804"/>
          <a:ext cx="6664036" cy="55517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PRESSING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0</xdr:colOff>
      <xdr:row>29</xdr:row>
      <xdr:rowOff>63325</xdr:rowOff>
    </xdr:from>
    <xdr:to>
      <xdr:col>21</xdr:col>
      <xdr:colOff>590550</xdr:colOff>
      <xdr:row>31</xdr:row>
      <xdr:rowOff>121513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B0BE76BF-EA1C-45BA-8272-33951DA8330E}"/>
            </a:ext>
          </a:extLst>
        </xdr:cNvPr>
        <xdr:cNvSpPr txBox="1"/>
      </xdr:nvSpPr>
      <xdr:spPr>
        <a:xfrm>
          <a:off x="6656294" y="5262854"/>
          <a:ext cx="6641727" cy="41677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Ründetegevus viimasel kolmandikul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21770</xdr:colOff>
      <xdr:row>55</xdr:row>
      <xdr:rowOff>54168</xdr:rowOff>
    </xdr:from>
    <xdr:to>
      <xdr:col>21</xdr:col>
      <xdr:colOff>589460</xdr:colOff>
      <xdr:row>57</xdr:row>
      <xdr:rowOff>93306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FE100E98-7D0C-46E1-B148-E3F76B72CA88}"/>
            </a:ext>
          </a:extLst>
        </xdr:cNvPr>
        <xdr:cNvSpPr txBox="1"/>
      </xdr:nvSpPr>
      <xdr:spPr>
        <a:xfrm>
          <a:off x="6763813" y="10100972"/>
          <a:ext cx="6696821" cy="40357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Pressingute ülevaade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10886</xdr:colOff>
      <xdr:row>98</xdr:row>
      <xdr:rowOff>3</xdr:rowOff>
    </xdr:from>
    <xdr:to>
      <xdr:col>21</xdr:col>
      <xdr:colOff>578922</xdr:colOff>
      <xdr:row>101</xdr:row>
      <xdr:rowOff>5</xdr:rowOff>
    </xdr:to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3441E576-9FBB-4B1E-855D-CE5650C4C559}"/>
            </a:ext>
          </a:extLst>
        </xdr:cNvPr>
        <xdr:cNvSpPr txBox="1"/>
      </xdr:nvSpPr>
      <xdr:spPr>
        <a:xfrm>
          <a:off x="6716486" y="18168260"/>
          <a:ext cx="6664036" cy="55517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PRESSING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612913</xdr:colOff>
      <xdr:row>102</xdr:row>
      <xdr:rowOff>181638</xdr:rowOff>
    </xdr:from>
    <xdr:to>
      <xdr:col>21</xdr:col>
      <xdr:colOff>590550</xdr:colOff>
      <xdr:row>105</xdr:row>
      <xdr:rowOff>48084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3A0C75F5-629A-4D1D-9AE2-7671ADA33588}"/>
            </a:ext>
          </a:extLst>
        </xdr:cNvPr>
        <xdr:cNvSpPr txBox="1"/>
      </xdr:nvSpPr>
      <xdr:spPr>
        <a:xfrm>
          <a:off x="6742043" y="18792660"/>
          <a:ext cx="6719681" cy="4130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Pressing momentum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209008</xdr:colOff>
      <xdr:row>108</xdr:row>
      <xdr:rowOff>90840</xdr:rowOff>
    </xdr:from>
    <xdr:to>
      <xdr:col>21</xdr:col>
      <xdr:colOff>363108</xdr:colOff>
      <xdr:row>130</xdr:row>
      <xdr:rowOff>47214</xdr:rowOff>
    </xdr:to>
    <xdr:graphicFrame macro="">
      <xdr:nvGraphicFramePr>
        <xdr:cNvPr id="111" name="Chart 110">
          <a:extLst>
            <a:ext uri="{FF2B5EF4-FFF2-40B4-BE49-F238E27FC236}">
              <a16:creationId xmlns:a16="http://schemas.microsoft.com/office/drawing/2014/main" id="{E860E69F-113E-47E8-A1AE-B2984D275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134325</xdr:colOff>
      <xdr:row>80</xdr:row>
      <xdr:rowOff>133481</xdr:rowOff>
    </xdr:from>
    <xdr:to>
      <xdr:col>3</xdr:col>
      <xdr:colOff>321012</xdr:colOff>
      <xdr:row>84</xdr:row>
      <xdr:rowOff>59767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31677EED-344E-4CB5-853D-9329265DB28A}"/>
            </a:ext>
          </a:extLst>
        </xdr:cNvPr>
        <xdr:cNvSpPr txBox="1"/>
      </xdr:nvSpPr>
      <xdr:spPr>
        <a:xfrm>
          <a:off x="1358968" y="14312124"/>
          <a:ext cx="799008" cy="6338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 b="0">
              <a:latin typeface="Titillium Bd" panose="00000800000000000000" pitchFamily="50" charset="0"/>
            </a:rPr>
            <a:t>ENTRIES</a:t>
          </a:r>
          <a:endParaRPr lang="et-EE" sz="11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3</xdr:col>
      <xdr:colOff>321012</xdr:colOff>
      <xdr:row>80</xdr:row>
      <xdr:rowOff>133481</xdr:rowOff>
    </xdr:from>
    <xdr:to>
      <xdr:col>4</xdr:col>
      <xdr:colOff>511984</xdr:colOff>
      <xdr:row>84</xdr:row>
      <xdr:rowOff>59767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43585846-FFE5-4218-9F2E-8F4D99AB3989}"/>
            </a:ext>
          </a:extLst>
        </xdr:cNvPr>
        <xdr:cNvSpPr txBox="1"/>
      </xdr:nvSpPr>
      <xdr:spPr>
        <a:xfrm>
          <a:off x="2157976" y="14312124"/>
          <a:ext cx="803294" cy="6338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0">
              <a:latin typeface="Titillium Bd" panose="00000800000000000000" pitchFamily="50" charset="0"/>
            </a:rPr>
            <a:t>ATTEMPTS</a:t>
          </a:r>
          <a:endParaRPr lang="et-EE" sz="10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4</xdr:col>
      <xdr:colOff>515794</xdr:colOff>
      <xdr:row>80</xdr:row>
      <xdr:rowOff>136071</xdr:rowOff>
    </xdr:from>
    <xdr:to>
      <xdr:col>6</xdr:col>
      <xdr:colOff>104310</xdr:colOff>
      <xdr:row>84</xdr:row>
      <xdr:rowOff>55957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363B6ED7-0370-4061-BE2D-8810BBDDFC1A}"/>
            </a:ext>
          </a:extLst>
        </xdr:cNvPr>
        <xdr:cNvSpPr txBox="1"/>
      </xdr:nvSpPr>
      <xdr:spPr>
        <a:xfrm>
          <a:off x="2965080" y="14314714"/>
          <a:ext cx="813159" cy="6274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0">
              <a:latin typeface="Titillium Bd" panose="00000800000000000000" pitchFamily="50" charset="0"/>
            </a:rPr>
            <a:t>ATTEMPTS ON TARGET</a:t>
          </a:r>
          <a:endParaRPr lang="et-EE" sz="10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6</xdr:col>
      <xdr:colOff>104310</xdr:colOff>
      <xdr:row>80</xdr:row>
      <xdr:rowOff>136071</xdr:rowOff>
    </xdr:from>
    <xdr:to>
      <xdr:col>7</xdr:col>
      <xdr:colOff>287187</xdr:colOff>
      <xdr:row>84</xdr:row>
      <xdr:rowOff>55957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6FF0F218-2695-4301-B08F-5D5F76BE8A87}"/>
            </a:ext>
          </a:extLst>
        </xdr:cNvPr>
        <xdr:cNvSpPr txBox="1"/>
      </xdr:nvSpPr>
      <xdr:spPr>
        <a:xfrm>
          <a:off x="3778239" y="14314714"/>
          <a:ext cx="795198" cy="6274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 b="0">
              <a:latin typeface="Titillium Bd" panose="00000800000000000000" pitchFamily="50" charset="0"/>
            </a:rPr>
            <a:t>GOAL</a:t>
          </a:r>
          <a:endParaRPr lang="et-EE" sz="11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7</xdr:col>
      <xdr:colOff>287187</xdr:colOff>
      <xdr:row>80</xdr:row>
      <xdr:rowOff>136071</xdr:rowOff>
    </xdr:from>
    <xdr:to>
      <xdr:col>8</xdr:col>
      <xdr:colOff>476254</xdr:colOff>
      <xdr:row>84</xdr:row>
      <xdr:rowOff>55957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86C5E5B0-854D-40A4-9F48-92A84F2AFC3B}"/>
            </a:ext>
          </a:extLst>
        </xdr:cNvPr>
        <xdr:cNvSpPr txBox="1"/>
      </xdr:nvSpPr>
      <xdr:spPr>
        <a:xfrm>
          <a:off x="4573437" y="14314714"/>
          <a:ext cx="801388" cy="6274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 b="0">
              <a:latin typeface="Titillium Bd" panose="00000800000000000000" pitchFamily="50" charset="0"/>
            </a:rPr>
            <a:t>SHOT/GOAL%</a:t>
          </a:r>
          <a:endParaRPr lang="et-EE" sz="9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8</xdr:col>
      <xdr:colOff>476254</xdr:colOff>
      <xdr:row>80</xdr:row>
      <xdr:rowOff>136071</xdr:rowOff>
    </xdr:from>
    <xdr:to>
      <xdr:col>10</xdr:col>
      <xdr:colOff>15240</xdr:colOff>
      <xdr:row>84</xdr:row>
      <xdr:rowOff>55957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A48AA2EA-4CDE-491C-A30B-3C78A71C6C88}"/>
            </a:ext>
          </a:extLst>
        </xdr:cNvPr>
        <xdr:cNvSpPr txBox="1"/>
      </xdr:nvSpPr>
      <xdr:spPr>
        <a:xfrm>
          <a:off x="5374825" y="14314714"/>
          <a:ext cx="763629" cy="6274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0">
              <a:latin typeface="Titillium Bd" panose="00000800000000000000" pitchFamily="50" charset="0"/>
            </a:rPr>
            <a:t>SoT/GOAL%</a:t>
          </a:r>
          <a:endParaRPr lang="et-EE" sz="10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0</xdr:col>
      <xdr:colOff>544098</xdr:colOff>
      <xdr:row>84</xdr:row>
      <xdr:rowOff>59767</xdr:rowOff>
    </xdr:from>
    <xdr:to>
      <xdr:col>2</xdr:col>
      <xdr:colOff>134326</xdr:colOff>
      <xdr:row>86</xdr:row>
      <xdr:rowOff>94770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9A864B0E-6E10-4417-BC5A-06AA03D97514}"/>
            </a:ext>
          </a:extLst>
        </xdr:cNvPr>
        <xdr:cNvSpPr txBox="1"/>
      </xdr:nvSpPr>
      <xdr:spPr>
        <a:xfrm>
          <a:off x="544098" y="15475613"/>
          <a:ext cx="806497" cy="40134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 b="0">
              <a:latin typeface="Titillium Bd" panose="00000800000000000000" pitchFamily="50" charset="0"/>
            </a:rPr>
            <a:t>EESTI</a:t>
          </a:r>
          <a:endParaRPr lang="et-EE" sz="11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</xdr:col>
      <xdr:colOff>134325</xdr:colOff>
      <xdr:row>84</xdr:row>
      <xdr:rowOff>59767</xdr:rowOff>
    </xdr:from>
    <xdr:to>
      <xdr:col>3</xdr:col>
      <xdr:colOff>321012</xdr:colOff>
      <xdr:row>86</xdr:row>
      <xdr:rowOff>94770</xdr:rowOff>
    </xdr:to>
    <xdr:sp macro="" textlink="ANALYSIS!H20">
      <xdr:nvSpPr>
        <xdr:cNvPr id="127" name="TextBox 126">
          <a:extLst>
            <a:ext uri="{FF2B5EF4-FFF2-40B4-BE49-F238E27FC236}">
              <a16:creationId xmlns:a16="http://schemas.microsoft.com/office/drawing/2014/main" id="{D3A7B891-22FA-484F-A5D8-028D86973783}"/>
            </a:ext>
          </a:extLst>
        </xdr:cNvPr>
        <xdr:cNvSpPr txBox="1"/>
      </xdr:nvSpPr>
      <xdr:spPr>
        <a:xfrm>
          <a:off x="1353525" y="15290242"/>
          <a:ext cx="796287" cy="3969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87AE655-DD08-49F3-8C92-02D6CACBA66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8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3</xdr:col>
      <xdr:colOff>321012</xdr:colOff>
      <xdr:row>84</xdr:row>
      <xdr:rowOff>59767</xdr:rowOff>
    </xdr:from>
    <xdr:to>
      <xdr:col>4</xdr:col>
      <xdr:colOff>511984</xdr:colOff>
      <xdr:row>86</xdr:row>
      <xdr:rowOff>94770</xdr:rowOff>
    </xdr:to>
    <xdr:sp macro="" textlink="ANALYSIS!I20">
      <xdr:nvSpPr>
        <xdr:cNvPr id="128" name="TextBox 127">
          <a:extLst>
            <a:ext uri="{FF2B5EF4-FFF2-40B4-BE49-F238E27FC236}">
              <a16:creationId xmlns:a16="http://schemas.microsoft.com/office/drawing/2014/main" id="{873AAC89-E354-48E0-BECE-A75214D8F90A}"/>
            </a:ext>
          </a:extLst>
        </xdr:cNvPr>
        <xdr:cNvSpPr txBox="1"/>
      </xdr:nvSpPr>
      <xdr:spPr>
        <a:xfrm>
          <a:off x="2149812" y="15290242"/>
          <a:ext cx="800572" cy="3969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77A5A66-8FD9-4FFA-87EF-35041ED52DF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4</xdr:col>
      <xdr:colOff>511984</xdr:colOff>
      <xdr:row>84</xdr:row>
      <xdr:rowOff>59767</xdr:rowOff>
    </xdr:from>
    <xdr:to>
      <xdr:col>6</xdr:col>
      <xdr:colOff>106215</xdr:colOff>
      <xdr:row>86</xdr:row>
      <xdr:rowOff>94770</xdr:rowOff>
    </xdr:to>
    <xdr:sp macro="" textlink="ANALYSIS!J20">
      <xdr:nvSpPr>
        <xdr:cNvPr id="129" name="TextBox 128">
          <a:extLst>
            <a:ext uri="{FF2B5EF4-FFF2-40B4-BE49-F238E27FC236}">
              <a16:creationId xmlns:a16="http://schemas.microsoft.com/office/drawing/2014/main" id="{7053649B-D2FB-4D5A-ABA6-21D972D181FB}"/>
            </a:ext>
          </a:extLst>
        </xdr:cNvPr>
        <xdr:cNvSpPr txBox="1"/>
      </xdr:nvSpPr>
      <xdr:spPr>
        <a:xfrm>
          <a:off x="2950384" y="15290242"/>
          <a:ext cx="813431" cy="3969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CA9CC1E-EDE2-46A4-B81E-A1565F1DBEA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6</xdr:col>
      <xdr:colOff>106215</xdr:colOff>
      <xdr:row>84</xdr:row>
      <xdr:rowOff>59767</xdr:rowOff>
    </xdr:from>
    <xdr:to>
      <xdr:col>7</xdr:col>
      <xdr:colOff>283377</xdr:colOff>
      <xdr:row>86</xdr:row>
      <xdr:rowOff>94770</xdr:rowOff>
    </xdr:to>
    <xdr:sp macro="" textlink="ANALYSIS!K20">
      <xdr:nvSpPr>
        <xdr:cNvPr id="130" name="TextBox 129">
          <a:extLst>
            <a:ext uri="{FF2B5EF4-FFF2-40B4-BE49-F238E27FC236}">
              <a16:creationId xmlns:a16="http://schemas.microsoft.com/office/drawing/2014/main" id="{A9926C41-4D34-46BD-A421-00E4310B18A0}"/>
            </a:ext>
          </a:extLst>
        </xdr:cNvPr>
        <xdr:cNvSpPr txBox="1"/>
      </xdr:nvSpPr>
      <xdr:spPr>
        <a:xfrm>
          <a:off x="3763815" y="15290242"/>
          <a:ext cx="786762" cy="3969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844B6D7-837C-43D0-BF38-5CBCC9746A7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7</xdr:col>
      <xdr:colOff>283377</xdr:colOff>
      <xdr:row>84</xdr:row>
      <xdr:rowOff>59767</xdr:rowOff>
    </xdr:from>
    <xdr:to>
      <xdr:col>8</xdr:col>
      <xdr:colOff>472444</xdr:colOff>
      <xdr:row>86</xdr:row>
      <xdr:rowOff>94770</xdr:rowOff>
    </xdr:to>
    <xdr:sp macro="" textlink="ANALYSIS!L20">
      <xdr:nvSpPr>
        <xdr:cNvPr id="131" name="TextBox 130">
          <a:extLst>
            <a:ext uri="{FF2B5EF4-FFF2-40B4-BE49-F238E27FC236}">
              <a16:creationId xmlns:a16="http://schemas.microsoft.com/office/drawing/2014/main" id="{D85E6411-D991-4A9F-B776-B490DC2D1743}"/>
            </a:ext>
          </a:extLst>
        </xdr:cNvPr>
        <xdr:cNvSpPr txBox="1"/>
      </xdr:nvSpPr>
      <xdr:spPr>
        <a:xfrm>
          <a:off x="4550577" y="15290242"/>
          <a:ext cx="798667" cy="3969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1869C30-0F39-4B77-8633-39BAE410A9E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8</xdr:col>
      <xdr:colOff>472444</xdr:colOff>
      <xdr:row>84</xdr:row>
      <xdr:rowOff>59767</xdr:rowOff>
    </xdr:from>
    <xdr:to>
      <xdr:col>10</xdr:col>
      <xdr:colOff>19050</xdr:colOff>
      <xdr:row>86</xdr:row>
      <xdr:rowOff>94770</xdr:rowOff>
    </xdr:to>
    <xdr:sp macro="" textlink="ANALYSIS!M20">
      <xdr:nvSpPr>
        <xdr:cNvPr id="132" name="TextBox 131">
          <a:extLst>
            <a:ext uri="{FF2B5EF4-FFF2-40B4-BE49-F238E27FC236}">
              <a16:creationId xmlns:a16="http://schemas.microsoft.com/office/drawing/2014/main" id="{76D4B2EB-469C-43A2-B15F-9D2CD3729EAB}"/>
            </a:ext>
          </a:extLst>
        </xdr:cNvPr>
        <xdr:cNvSpPr txBox="1"/>
      </xdr:nvSpPr>
      <xdr:spPr>
        <a:xfrm>
          <a:off x="5349244" y="15290242"/>
          <a:ext cx="765806" cy="3969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715D1AD-FEDF-46AF-A4AF-C25DA1A21AD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0</xdr:col>
      <xdr:colOff>544098</xdr:colOff>
      <xdr:row>86</xdr:row>
      <xdr:rowOff>94770</xdr:rowOff>
    </xdr:from>
    <xdr:to>
      <xdr:col>2</xdr:col>
      <xdr:colOff>134326</xdr:colOff>
      <xdr:row>88</xdr:row>
      <xdr:rowOff>150727</xdr:rowOff>
    </xdr:to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50F6E466-31B1-4DF3-BB35-A024B431C849}"/>
            </a:ext>
          </a:extLst>
        </xdr:cNvPr>
        <xdr:cNvSpPr txBox="1"/>
      </xdr:nvSpPr>
      <xdr:spPr>
        <a:xfrm>
          <a:off x="544098" y="15876962"/>
          <a:ext cx="806497" cy="42230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 b="0">
              <a:latin typeface="Titillium Bd" panose="00000800000000000000" pitchFamily="50" charset="0"/>
            </a:rPr>
            <a:t>VASTANE</a:t>
          </a:r>
          <a:endParaRPr lang="et-EE" sz="11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</xdr:col>
      <xdr:colOff>134325</xdr:colOff>
      <xdr:row>86</xdr:row>
      <xdr:rowOff>94770</xdr:rowOff>
    </xdr:from>
    <xdr:to>
      <xdr:col>3</xdr:col>
      <xdr:colOff>321012</xdr:colOff>
      <xdr:row>88</xdr:row>
      <xdr:rowOff>150727</xdr:rowOff>
    </xdr:to>
    <xdr:sp macro="" textlink="ANALYSIS!H21">
      <xdr:nvSpPr>
        <xdr:cNvPr id="134" name="TextBox 133">
          <a:extLst>
            <a:ext uri="{FF2B5EF4-FFF2-40B4-BE49-F238E27FC236}">
              <a16:creationId xmlns:a16="http://schemas.microsoft.com/office/drawing/2014/main" id="{DD5D8944-7BF1-4C8B-9634-5B31437EB339}"/>
            </a:ext>
          </a:extLst>
        </xdr:cNvPr>
        <xdr:cNvSpPr txBox="1"/>
      </xdr:nvSpPr>
      <xdr:spPr>
        <a:xfrm>
          <a:off x="1353525" y="15687195"/>
          <a:ext cx="796287" cy="41790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1A57346-4ED5-4C63-A88F-98DC78370F9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7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3</xdr:col>
      <xdr:colOff>321012</xdr:colOff>
      <xdr:row>86</xdr:row>
      <xdr:rowOff>94770</xdr:rowOff>
    </xdr:from>
    <xdr:to>
      <xdr:col>4</xdr:col>
      <xdr:colOff>511984</xdr:colOff>
      <xdr:row>88</xdr:row>
      <xdr:rowOff>150727</xdr:rowOff>
    </xdr:to>
    <xdr:sp macro="" textlink="ANALYSIS!I21">
      <xdr:nvSpPr>
        <xdr:cNvPr id="135" name="TextBox 134">
          <a:extLst>
            <a:ext uri="{FF2B5EF4-FFF2-40B4-BE49-F238E27FC236}">
              <a16:creationId xmlns:a16="http://schemas.microsoft.com/office/drawing/2014/main" id="{235CE067-A987-4102-A283-23F441FCF951}"/>
            </a:ext>
          </a:extLst>
        </xdr:cNvPr>
        <xdr:cNvSpPr txBox="1"/>
      </xdr:nvSpPr>
      <xdr:spPr>
        <a:xfrm>
          <a:off x="2149812" y="15687195"/>
          <a:ext cx="800572" cy="41790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AE6F164-46C6-488C-8825-18399A02CB4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4</xdr:col>
      <xdr:colOff>511984</xdr:colOff>
      <xdr:row>86</xdr:row>
      <xdr:rowOff>94770</xdr:rowOff>
    </xdr:from>
    <xdr:to>
      <xdr:col>6</xdr:col>
      <xdr:colOff>106215</xdr:colOff>
      <xdr:row>88</xdr:row>
      <xdr:rowOff>150727</xdr:rowOff>
    </xdr:to>
    <xdr:sp macro="" textlink="ANALYSIS!J21">
      <xdr:nvSpPr>
        <xdr:cNvPr id="136" name="TextBox 135">
          <a:extLst>
            <a:ext uri="{FF2B5EF4-FFF2-40B4-BE49-F238E27FC236}">
              <a16:creationId xmlns:a16="http://schemas.microsoft.com/office/drawing/2014/main" id="{39FDC015-0774-406D-9D6B-CC4E037E1009}"/>
            </a:ext>
          </a:extLst>
        </xdr:cNvPr>
        <xdr:cNvSpPr txBox="1"/>
      </xdr:nvSpPr>
      <xdr:spPr>
        <a:xfrm>
          <a:off x="2950384" y="15687195"/>
          <a:ext cx="813431" cy="41790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4043F54-4642-40D6-B622-AEFEB2C15FA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6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6</xdr:col>
      <xdr:colOff>106215</xdr:colOff>
      <xdr:row>86</xdr:row>
      <xdr:rowOff>94770</xdr:rowOff>
    </xdr:from>
    <xdr:to>
      <xdr:col>7</xdr:col>
      <xdr:colOff>283377</xdr:colOff>
      <xdr:row>88</xdr:row>
      <xdr:rowOff>150727</xdr:rowOff>
    </xdr:to>
    <xdr:sp macro="" textlink="ANALYSIS!K21">
      <xdr:nvSpPr>
        <xdr:cNvPr id="137" name="TextBox 136">
          <a:extLst>
            <a:ext uri="{FF2B5EF4-FFF2-40B4-BE49-F238E27FC236}">
              <a16:creationId xmlns:a16="http://schemas.microsoft.com/office/drawing/2014/main" id="{0018A2A3-4CA7-484A-9EBF-5A615179F51D}"/>
            </a:ext>
          </a:extLst>
        </xdr:cNvPr>
        <xdr:cNvSpPr txBox="1"/>
      </xdr:nvSpPr>
      <xdr:spPr>
        <a:xfrm>
          <a:off x="3763815" y="15687195"/>
          <a:ext cx="786762" cy="41790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BEB8DE2-CB4C-4490-A185-321DBC27581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4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7</xdr:col>
      <xdr:colOff>283377</xdr:colOff>
      <xdr:row>86</xdr:row>
      <xdr:rowOff>94770</xdr:rowOff>
    </xdr:from>
    <xdr:to>
      <xdr:col>8</xdr:col>
      <xdr:colOff>472444</xdr:colOff>
      <xdr:row>88</xdr:row>
      <xdr:rowOff>150727</xdr:rowOff>
    </xdr:to>
    <xdr:sp macro="" textlink="ANALYSIS!L21">
      <xdr:nvSpPr>
        <xdr:cNvPr id="138" name="TextBox 137">
          <a:extLst>
            <a:ext uri="{FF2B5EF4-FFF2-40B4-BE49-F238E27FC236}">
              <a16:creationId xmlns:a16="http://schemas.microsoft.com/office/drawing/2014/main" id="{E716134D-D60E-4DF0-91D3-6F1B5B83DAF6}"/>
            </a:ext>
          </a:extLst>
        </xdr:cNvPr>
        <xdr:cNvSpPr txBox="1"/>
      </xdr:nvSpPr>
      <xdr:spPr>
        <a:xfrm>
          <a:off x="4550577" y="15687195"/>
          <a:ext cx="798667" cy="41790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716FFD9-E0FD-4396-8F9E-00E52303BA4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8</xdr:col>
      <xdr:colOff>472444</xdr:colOff>
      <xdr:row>86</xdr:row>
      <xdr:rowOff>94770</xdr:rowOff>
    </xdr:from>
    <xdr:to>
      <xdr:col>10</xdr:col>
      <xdr:colOff>19050</xdr:colOff>
      <xdr:row>88</xdr:row>
      <xdr:rowOff>150727</xdr:rowOff>
    </xdr:to>
    <xdr:sp macro="" textlink="ANALYSIS!M21">
      <xdr:nvSpPr>
        <xdr:cNvPr id="139" name="TextBox 138">
          <a:extLst>
            <a:ext uri="{FF2B5EF4-FFF2-40B4-BE49-F238E27FC236}">
              <a16:creationId xmlns:a16="http://schemas.microsoft.com/office/drawing/2014/main" id="{BF528C78-69CF-4437-A3AF-C74E96F03925}"/>
            </a:ext>
          </a:extLst>
        </xdr:cNvPr>
        <xdr:cNvSpPr txBox="1"/>
      </xdr:nvSpPr>
      <xdr:spPr>
        <a:xfrm>
          <a:off x="5349244" y="15687195"/>
          <a:ext cx="765806" cy="41790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B4EC07B-3611-4736-B258-9D192B53525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 b="0">
            <a:latin typeface="Titillium" panose="00000500000000000000" pitchFamily="50" charset="0"/>
          </a:endParaRPr>
        </a:p>
      </xdr:txBody>
    </xdr:sp>
    <xdr:clientData/>
  </xdr:twoCellAnchor>
  <xdr:twoCellAnchor>
    <xdr:from>
      <xdr:col>11</xdr:col>
      <xdr:colOff>134473</xdr:colOff>
      <xdr:row>156</xdr:row>
      <xdr:rowOff>26894</xdr:rowOff>
    </xdr:from>
    <xdr:to>
      <xdr:col>12</xdr:col>
      <xdr:colOff>462905</xdr:colOff>
      <xdr:row>159</xdr:row>
      <xdr:rowOff>24808</xdr:rowOff>
    </xdr:to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id="{A4FF717D-0EEA-4DD7-B945-DFAB49D980F7}"/>
            </a:ext>
          </a:extLst>
        </xdr:cNvPr>
        <xdr:cNvSpPr txBox="1"/>
      </xdr:nvSpPr>
      <xdr:spPr>
        <a:xfrm>
          <a:off x="6840073" y="28032635"/>
          <a:ext cx="938032" cy="53579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TSOON</a:t>
          </a:r>
          <a:br>
            <a:rPr lang="en-US" sz="1050">
              <a:latin typeface="Titillium Bd" panose="00000800000000000000" pitchFamily="50" charset="0"/>
            </a:rPr>
          </a:br>
          <a:r>
            <a:rPr lang="en-US" sz="1050">
              <a:latin typeface="Titillium Bd" panose="00000800000000000000" pitchFamily="50" charset="0"/>
            </a:rPr>
            <a:t>PRESSING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462905</xdr:colOff>
      <xdr:row>156</xdr:row>
      <xdr:rowOff>27894</xdr:rowOff>
    </xdr:from>
    <xdr:to>
      <xdr:col>14</xdr:col>
      <xdr:colOff>26677</xdr:colOff>
      <xdr:row>159</xdr:row>
      <xdr:rowOff>20998</xdr:rowOff>
    </xdr:to>
    <xdr:sp macro="" textlink="">
      <xdr:nvSpPr>
        <xdr:cNvPr id="379" name="TextBox 378">
          <a:extLst>
            <a:ext uri="{FF2B5EF4-FFF2-40B4-BE49-F238E27FC236}">
              <a16:creationId xmlns:a16="http://schemas.microsoft.com/office/drawing/2014/main" id="{555676E0-5D86-463E-9CBC-085650D91ACC}"/>
            </a:ext>
          </a:extLst>
        </xdr:cNvPr>
        <xdr:cNvSpPr txBox="1"/>
      </xdr:nvSpPr>
      <xdr:spPr>
        <a:xfrm>
          <a:off x="7778105" y="28033635"/>
          <a:ext cx="782972" cy="5309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S1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26677</xdr:colOff>
      <xdr:row>156</xdr:row>
      <xdr:rowOff>27894</xdr:rowOff>
    </xdr:from>
    <xdr:to>
      <xdr:col>15</xdr:col>
      <xdr:colOff>194831</xdr:colOff>
      <xdr:row>159</xdr:row>
      <xdr:rowOff>20998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E87B6383-407B-4574-8C13-0A14FE8D43F5}"/>
            </a:ext>
          </a:extLst>
        </xdr:cNvPr>
        <xdr:cNvSpPr txBox="1"/>
      </xdr:nvSpPr>
      <xdr:spPr>
        <a:xfrm>
          <a:off x="8561077" y="28033635"/>
          <a:ext cx="777754" cy="5309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S2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15</xdr:col>
      <xdr:colOff>194831</xdr:colOff>
      <xdr:row>156</xdr:row>
      <xdr:rowOff>27894</xdr:rowOff>
    </xdr:from>
    <xdr:to>
      <xdr:col>16</xdr:col>
      <xdr:colOff>387253</xdr:colOff>
      <xdr:row>159</xdr:row>
      <xdr:rowOff>20998</xdr:rowOff>
    </xdr:to>
    <xdr:sp macro="" textlink="">
      <xdr:nvSpPr>
        <xdr:cNvPr id="381" name="TextBox 380">
          <a:extLst>
            <a:ext uri="{FF2B5EF4-FFF2-40B4-BE49-F238E27FC236}">
              <a16:creationId xmlns:a16="http://schemas.microsoft.com/office/drawing/2014/main" id="{BF15885D-BA6B-40F5-BA16-067A970E18F1}"/>
            </a:ext>
          </a:extLst>
        </xdr:cNvPr>
        <xdr:cNvSpPr txBox="1"/>
      </xdr:nvSpPr>
      <xdr:spPr>
        <a:xfrm>
          <a:off x="9338831" y="28033635"/>
          <a:ext cx="802022" cy="5309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S1 S2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16</xdr:col>
      <xdr:colOff>387253</xdr:colOff>
      <xdr:row>156</xdr:row>
      <xdr:rowOff>27894</xdr:rowOff>
    </xdr:from>
    <xdr:to>
      <xdr:col>17</xdr:col>
      <xdr:colOff>577770</xdr:colOff>
      <xdr:row>159</xdr:row>
      <xdr:rowOff>20998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676C6783-62E4-4D61-9506-24E2A779E0C0}"/>
            </a:ext>
          </a:extLst>
        </xdr:cNvPr>
        <xdr:cNvSpPr txBox="1"/>
      </xdr:nvSpPr>
      <xdr:spPr>
        <a:xfrm>
          <a:off x="10140853" y="28033635"/>
          <a:ext cx="800117" cy="5309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S1</a:t>
          </a:r>
          <a:r>
            <a:rPr lang="en-US" sz="1000" baseline="0">
              <a:latin typeface="Titillium Bd" panose="00000800000000000000" pitchFamily="50" charset="0"/>
            </a:rPr>
            <a:t> S2 S3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17</xdr:col>
      <xdr:colOff>577770</xdr:colOff>
      <xdr:row>156</xdr:row>
      <xdr:rowOff>27894</xdr:rowOff>
    </xdr:from>
    <xdr:to>
      <xdr:col>19</xdr:col>
      <xdr:colOff>122989</xdr:colOff>
      <xdr:row>159</xdr:row>
      <xdr:rowOff>20998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C9FD56E0-8FA4-4567-A3B8-C80E99C71D17}"/>
            </a:ext>
          </a:extLst>
        </xdr:cNvPr>
        <xdr:cNvSpPr txBox="1"/>
      </xdr:nvSpPr>
      <xdr:spPr>
        <a:xfrm>
          <a:off x="10940970" y="28033635"/>
          <a:ext cx="764419" cy="5309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S1 S3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19</xdr:col>
      <xdr:colOff>122989</xdr:colOff>
      <xdr:row>156</xdr:row>
      <xdr:rowOff>27894</xdr:rowOff>
    </xdr:from>
    <xdr:to>
      <xdr:col>20</xdr:col>
      <xdr:colOff>311601</xdr:colOff>
      <xdr:row>159</xdr:row>
      <xdr:rowOff>20998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3BA91252-4236-4251-9AD5-4A9340A7D346}"/>
            </a:ext>
          </a:extLst>
        </xdr:cNvPr>
        <xdr:cNvSpPr txBox="1"/>
      </xdr:nvSpPr>
      <xdr:spPr>
        <a:xfrm>
          <a:off x="11705389" y="28033635"/>
          <a:ext cx="798212" cy="5309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S2 S3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20</xdr:col>
      <xdr:colOff>311601</xdr:colOff>
      <xdr:row>156</xdr:row>
      <xdr:rowOff>27894</xdr:rowOff>
    </xdr:from>
    <xdr:to>
      <xdr:col>21</xdr:col>
      <xdr:colOff>479258</xdr:colOff>
      <xdr:row>159</xdr:row>
      <xdr:rowOff>20998</xdr:rowOff>
    </xdr:to>
    <xdr:sp macro="" textlink="">
      <xdr:nvSpPr>
        <xdr:cNvPr id="385" name="TextBox 384">
          <a:extLst>
            <a:ext uri="{FF2B5EF4-FFF2-40B4-BE49-F238E27FC236}">
              <a16:creationId xmlns:a16="http://schemas.microsoft.com/office/drawing/2014/main" id="{BF5DD290-CF67-465A-A6F5-1DE8A0F3D53E}"/>
            </a:ext>
          </a:extLst>
        </xdr:cNvPr>
        <xdr:cNvSpPr txBox="1"/>
      </xdr:nvSpPr>
      <xdr:spPr>
        <a:xfrm>
          <a:off x="12503601" y="28033635"/>
          <a:ext cx="777257" cy="5309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S3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134473</xdr:colOff>
      <xdr:row>159</xdr:row>
      <xdr:rowOff>20998</xdr:rowOff>
    </xdr:from>
    <xdr:to>
      <xdr:col>12</xdr:col>
      <xdr:colOff>462905</xdr:colOff>
      <xdr:row>161</xdr:row>
      <xdr:rowOff>27800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98090DFC-7A87-41E2-917D-AB0154E3B745}"/>
            </a:ext>
          </a:extLst>
        </xdr:cNvPr>
        <xdr:cNvSpPr txBox="1"/>
      </xdr:nvSpPr>
      <xdr:spPr>
        <a:xfrm>
          <a:off x="6840073" y="28564622"/>
          <a:ext cx="938032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HIGHPRESS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462905</xdr:colOff>
      <xdr:row>159</xdr:row>
      <xdr:rowOff>20998</xdr:rowOff>
    </xdr:from>
    <xdr:to>
      <xdr:col>14</xdr:col>
      <xdr:colOff>26677</xdr:colOff>
      <xdr:row>161</xdr:row>
      <xdr:rowOff>27800</xdr:rowOff>
    </xdr:to>
    <xdr:sp macro="" textlink="ANALYSIS!Z91">
      <xdr:nvSpPr>
        <xdr:cNvPr id="387" name="TextBox 386">
          <a:extLst>
            <a:ext uri="{FF2B5EF4-FFF2-40B4-BE49-F238E27FC236}">
              <a16:creationId xmlns:a16="http://schemas.microsoft.com/office/drawing/2014/main" id="{83F22B0D-698B-42E7-9596-F27F5F5BD399}"/>
            </a:ext>
          </a:extLst>
        </xdr:cNvPr>
        <xdr:cNvSpPr txBox="1"/>
      </xdr:nvSpPr>
      <xdr:spPr>
        <a:xfrm>
          <a:off x="7778105" y="28564622"/>
          <a:ext cx="782972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514FA5E-6567-473A-9EC6-B9966AEEBF2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14</xdr:col>
      <xdr:colOff>26677</xdr:colOff>
      <xdr:row>159</xdr:row>
      <xdr:rowOff>20998</xdr:rowOff>
    </xdr:from>
    <xdr:to>
      <xdr:col>15</xdr:col>
      <xdr:colOff>194831</xdr:colOff>
      <xdr:row>161</xdr:row>
      <xdr:rowOff>27800</xdr:rowOff>
    </xdr:to>
    <xdr:sp macro="" textlink="ANALYSIS!AA91">
      <xdr:nvSpPr>
        <xdr:cNvPr id="388" name="TextBox 387">
          <a:extLst>
            <a:ext uri="{FF2B5EF4-FFF2-40B4-BE49-F238E27FC236}">
              <a16:creationId xmlns:a16="http://schemas.microsoft.com/office/drawing/2014/main" id="{689B62B1-572F-48CD-A185-A4CACD5DC1B9}"/>
            </a:ext>
          </a:extLst>
        </xdr:cNvPr>
        <xdr:cNvSpPr txBox="1"/>
      </xdr:nvSpPr>
      <xdr:spPr>
        <a:xfrm>
          <a:off x="8561077" y="28564622"/>
          <a:ext cx="777754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448BCD1-FAC8-4A40-917B-57F56D1C8FD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15</xdr:col>
      <xdr:colOff>194831</xdr:colOff>
      <xdr:row>159</xdr:row>
      <xdr:rowOff>20998</xdr:rowOff>
    </xdr:from>
    <xdr:to>
      <xdr:col>16</xdr:col>
      <xdr:colOff>387253</xdr:colOff>
      <xdr:row>161</xdr:row>
      <xdr:rowOff>27800</xdr:rowOff>
    </xdr:to>
    <xdr:sp macro="" textlink="ANALYSIS!AB91">
      <xdr:nvSpPr>
        <xdr:cNvPr id="389" name="TextBox 388">
          <a:extLst>
            <a:ext uri="{FF2B5EF4-FFF2-40B4-BE49-F238E27FC236}">
              <a16:creationId xmlns:a16="http://schemas.microsoft.com/office/drawing/2014/main" id="{BD8B25D8-250E-4C40-8F09-97B6D98C5124}"/>
            </a:ext>
          </a:extLst>
        </xdr:cNvPr>
        <xdr:cNvSpPr txBox="1"/>
      </xdr:nvSpPr>
      <xdr:spPr>
        <a:xfrm>
          <a:off x="9338831" y="28564622"/>
          <a:ext cx="802022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03F3C1E-6934-4E21-B63B-CAF18F815B1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16</xdr:col>
      <xdr:colOff>387253</xdr:colOff>
      <xdr:row>159</xdr:row>
      <xdr:rowOff>20998</xdr:rowOff>
    </xdr:from>
    <xdr:to>
      <xdr:col>17</xdr:col>
      <xdr:colOff>577770</xdr:colOff>
      <xdr:row>161</xdr:row>
      <xdr:rowOff>27800</xdr:rowOff>
    </xdr:to>
    <xdr:sp macro="" textlink="ANALYSIS!AC91">
      <xdr:nvSpPr>
        <xdr:cNvPr id="390" name="TextBox 389">
          <a:extLst>
            <a:ext uri="{FF2B5EF4-FFF2-40B4-BE49-F238E27FC236}">
              <a16:creationId xmlns:a16="http://schemas.microsoft.com/office/drawing/2014/main" id="{ACC03278-1DEE-4707-8038-09914B31EDAB}"/>
            </a:ext>
          </a:extLst>
        </xdr:cNvPr>
        <xdr:cNvSpPr txBox="1"/>
      </xdr:nvSpPr>
      <xdr:spPr>
        <a:xfrm>
          <a:off x="10140853" y="28564622"/>
          <a:ext cx="800117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7D9A103-1B6E-4B6C-879A-819ACFA5D1E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17</xdr:col>
      <xdr:colOff>577770</xdr:colOff>
      <xdr:row>159</xdr:row>
      <xdr:rowOff>20998</xdr:rowOff>
    </xdr:from>
    <xdr:to>
      <xdr:col>19</xdr:col>
      <xdr:colOff>122989</xdr:colOff>
      <xdr:row>161</xdr:row>
      <xdr:rowOff>27800</xdr:rowOff>
    </xdr:to>
    <xdr:sp macro="" textlink="ANALYSIS!AD91">
      <xdr:nvSpPr>
        <xdr:cNvPr id="391" name="TextBox 390">
          <a:extLst>
            <a:ext uri="{FF2B5EF4-FFF2-40B4-BE49-F238E27FC236}">
              <a16:creationId xmlns:a16="http://schemas.microsoft.com/office/drawing/2014/main" id="{84B70AD7-C5B4-4556-BF05-CCDCF5495D7A}"/>
            </a:ext>
          </a:extLst>
        </xdr:cNvPr>
        <xdr:cNvSpPr txBox="1"/>
      </xdr:nvSpPr>
      <xdr:spPr>
        <a:xfrm>
          <a:off x="10940970" y="28564622"/>
          <a:ext cx="764419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0B8936B-F708-4963-BD3C-D75A855E9DB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19</xdr:col>
      <xdr:colOff>122989</xdr:colOff>
      <xdr:row>159</xdr:row>
      <xdr:rowOff>20998</xdr:rowOff>
    </xdr:from>
    <xdr:to>
      <xdr:col>20</xdr:col>
      <xdr:colOff>311601</xdr:colOff>
      <xdr:row>161</xdr:row>
      <xdr:rowOff>27800</xdr:rowOff>
    </xdr:to>
    <xdr:sp macro="" textlink="ANALYSIS!AE91">
      <xdr:nvSpPr>
        <xdr:cNvPr id="392" name="TextBox 391">
          <a:extLst>
            <a:ext uri="{FF2B5EF4-FFF2-40B4-BE49-F238E27FC236}">
              <a16:creationId xmlns:a16="http://schemas.microsoft.com/office/drawing/2014/main" id="{759543BA-A1DD-49FC-A30E-60D02D2771FB}"/>
            </a:ext>
          </a:extLst>
        </xdr:cNvPr>
        <xdr:cNvSpPr txBox="1"/>
      </xdr:nvSpPr>
      <xdr:spPr>
        <a:xfrm>
          <a:off x="11705389" y="28564622"/>
          <a:ext cx="798212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C91828E-FDFE-4E45-AC22-30FF5B3ECF6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20</xdr:col>
      <xdr:colOff>311601</xdr:colOff>
      <xdr:row>159</xdr:row>
      <xdr:rowOff>20998</xdr:rowOff>
    </xdr:from>
    <xdr:to>
      <xdr:col>21</xdr:col>
      <xdr:colOff>479258</xdr:colOff>
      <xdr:row>161</xdr:row>
      <xdr:rowOff>27800</xdr:rowOff>
    </xdr:to>
    <xdr:sp macro="" textlink="ANALYSIS!AF91">
      <xdr:nvSpPr>
        <xdr:cNvPr id="393" name="TextBox 392">
          <a:extLst>
            <a:ext uri="{FF2B5EF4-FFF2-40B4-BE49-F238E27FC236}">
              <a16:creationId xmlns:a16="http://schemas.microsoft.com/office/drawing/2014/main" id="{77AAF1CA-2835-4973-86A3-310637305BAE}"/>
            </a:ext>
          </a:extLst>
        </xdr:cNvPr>
        <xdr:cNvSpPr txBox="1"/>
      </xdr:nvSpPr>
      <xdr:spPr>
        <a:xfrm>
          <a:off x="12503601" y="28564622"/>
          <a:ext cx="777257" cy="3653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5FE97DE-E8E2-4CE5-B59A-5368CF08ABA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11</xdr:col>
      <xdr:colOff>134473</xdr:colOff>
      <xdr:row>161</xdr:row>
      <xdr:rowOff>27800</xdr:rowOff>
    </xdr:from>
    <xdr:to>
      <xdr:col>12</xdr:col>
      <xdr:colOff>462905</xdr:colOff>
      <xdr:row>163</xdr:row>
      <xdr:rowOff>53650</xdr:rowOff>
    </xdr:to>
    <xdr:sp macro="" textlink="">
      <xdr:nvSpPr>
        <xdr:cNvPr id="394" name="TextBox 393">
          <a:extLst>
            <a:ext uri="{FF2B5EF4-FFF2-40B4-BE49-F238E27FC236}">
              <a16:creationId xmlns:a16="http://schemas.microsoft.com/office/drawing/2014/main" id="{970FE52E-CEEC-4037-91AC-FEA519892F47}"/>
            </a:ext>
          </a:extLst>
        </xdr:cNvPr>
        <xdr:cNvSpPr txBox="1"/>
      </xdr:nvSpPr>
      <xdr:spPr>
        <a:xfrm>
          <a:off x="6840073" y="28930012"/>
          <a:ext cx="938032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MIDPRESS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462905</xdr:colOff>
      <xdr:row>161</xdr:row>
      <xdr:rowOff>27800</xdr:rowOff>
    </xdr:from>
    <xdr:to>
      <xdr:col>14</xdr:col>
      <xdr:colOff>26677</xdr:colOff>
      <xdr:row>163</xdr:row>
      <xdr:rowOff>53650</xdr:rowOff>
    </xdr:to>
    <xdr:sp macro="" textlink="ANALYSIS!Z92">
      <xdr:nvSpPr>
        <xdr:cNvPr id="395" name="TextBox 394">
          <a:extLst>
            <a:ext uri="{FF2B5EF4-FFF2-40B4-BE49-F238E27FC236}">
              <a16:creationId xmlns:a16="http://schemas.microsoft.com/office/drawing/2014/main" id="{F4A3F431-F8EA-4479-9E87-7B15454962DF}"/>
            </a:ext>
          </a:extLst>
        </xdr:cNvPr>
        <xdr:cNvSpPr txBox="1"/>
      </xdr:nvSpPr>
      <xdr:spPr>
        <a:xfrm>
          <a:off x="7778105" y="28930012"/>
          <a:ext cx="782972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173C66F-7F3F-4AF2-8390-D845BDD4A95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14</xdr:col>
      <xdr:colOff>26677</xdr:colOff>
      <xdr:row>161</xdr:row>
      <xdr:rowOff>27800</xdr:rowOff>
    </xdr:from>
    <xdr:to>
      <xdr:col>15</xdr:col>
      <xdr:colOff>194831</xdr:colOff>
      <xdr:row>163</xdr:row>
      <xdr:rowOff>53650</xdr:rowOff>
    </xdr:to>
    <xdr:sp macro="" textlink="ANALYSIS!AA92">
      <xdr:nvSpPr>
        <xdr:cNvPr id="396" name="TextBox 395">
          <a:extLst>
            <a:ext uri="{FF2B5EF4-FFF2-40B4-BE49-F238E27FC236}">
              <a16:creationId xmlns:a16="http://schemas.microsoft.com/office/drawing/2014/main" id="{FE4C937E-93D0-4C87-9ABC-E0BEE45EA3FB}"/>
            </a:ext>
          </a:extLst>
        </xdr:cNvPr>
        <xdr:cNvSpPr txBox="1"/>
      </xdr:nvSpPr>
      <xdr:spPr>
        <a:xfrm>
          <a:off x="8561077" y="28930012"/>
          <a:ext cx="777754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FA13276-014C-44AA-B06B-D7123D33105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6</a:t>
          </a:fld>
          <a:endParaRPr lang="et-EE" sz="1100"/>
        </a:p>
      </xdr:txBody>
    </xdr:sp>
    <xdr:clientData/>
  </xdr:twoCellAnchor>
  <xdr:twoCellAnchor>
    <xdr:from>
      <xdr:col>15</xdr:col>
      <xdr:colOff>194831</xdr:colOff>
      <xdr:row>161</xdr:row>
      <xdr:rowOff>27800</xdr:rowOff>
    </xdr:from>
    <xdr:to>
      <xdr:col>16</xdr:col>
      <xdr:colOff>387253</xdr:colOff>
      <xdr:row>163</xdr:row>
      <xdr:rowOff>53650</xdr:rowOff>
    </xdr:to>
    <xdr:sp macro="" textlink="ANALYSIS!AB92">
      <xdr:nvSpPr>
        <xdr:cNvPr id="397" name="TextBox 396">
          <a:extLst>
            <a:ext uri="{FF2B5EF4-FFF2-40B4-BE49-F238E27FC236}">
              <a16:creationId xmlns:a16="http://schemas.microsoft.com/office/drawing/2014/main" id="{1C474F2E-373B-4E3E-8A6D-E4283FB61A34}"/>
            </a:ext>
          </a:extLst>
        </xdr:cNvPr>
        <xdr:cNvSpPr txBox="1"/>
      </xdr:nvSpPr>
      <xdr:spPr>
        <a:xfrm>
          <a:off x="9338831" y="28930012"/>
          <a:ext cx="802022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B691DEB-745C-4899-AAEE-EAD6CB7C59B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6</a:t>
          </a:fld>
          <a:endParaRPr lang="et-EE" sz="1100"/>
        </a:p>
      </xdr:txBody>
    </xdr:sp>
    <xdr:clientData/>
  </xdr:twoCellAnchor>
  <xdr:twoCellAnchor>
    <xdr:from>
      <xdr:col>16</xdr:col>
      <xdr:colOff>387253</xdr:colOff>
      <xdr:row>161</xdr:row>
      <xdr:rowOff>27800</xdr:rowOff>
    </xdr:from>
    <xdr:to>
      <xdr:col>17</xdr:col>
      <xdr:colOff>577770</xdr:colOff>
      <xdr:row>163</xdr:row>
      <xdr:rowOff>53650</xdr:rowOff>
    </xdr:to>
    <xdr:sp macro="" textlink="ANALYSIS!AC92">
      <xdr:nvSpPr>
        <xdr:cNvPr id="398" name="TextBox 397">
          <a:extLst>
            <a:ext uri="{FF2B5EF4-FFF2-40B4-BE49-F238E27FC236}">
              <a16:creationId xmlns:a16="http://schemas.microsoft.com/office/drawing/2014/main" id="{6A0F63E7-85AB-4F25-A367-50F43DC3233C}"/>
            </a:ext>
          </a:extLst>
        </xdr:cNvPr>
        <xdr:cNvSpPr txBox="1"/>
      </xdr:nvSpPr>
      <xdr:spPr>
        <a:xfrm>
          <a:off x="10140853" y="28930012"/>
          <a:ext cx="800117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0D222AC-1BE5-4E5B-A3D3-7EBD202BAF8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17</xdr:col>
      <xdr:colOff>577770</xdr:colOff>
      <xdr:row>161</xdr:row>
      <xdr:rowOff>27800</xdr:rowOff>
    </xdr:from>
    <xdr:to>
      <xdr:col>19</xdr:col>
      <xdr:colOff>122989</xdr:colOff>
      <xdr:row>163</xdr:row>
      <xdr:rowOff>53650</xdr:rowOff>
    </xdr:to>
    <xdr:sp macro="" textlink="ANALYSIS!AD92">
      <xdr:nvSpPr>
        <xdr:cNvPr id="399" name="TextBox 398">
          <a:extLst>
            <a:ext uri="{FF2B5EF4-FFF2-40B4-BE49-F238E27FC236}">
              <a16:creationId xmlns:a16="http://schemas.microsoft.com/office/drawing/2014/main" id="{F58D24B3-5C07-4E51-810E-295B7FE845DB}"/>
            </a:ext>
          </a:extLst>
        </xdr:cNvPr>
        <xdr:cNvSpPr txBox="1"/>
      </xdr:nvSpPr>
      <xdr:spPr>
        <a:xfrm>
          <a:off x="10940970" y="28930012"/>
          <a:ext cx="764419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FDDECB2-E7D0-42A3-A15C-3B306B07429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19</xdr:col>
      <xdr:colOff>122989</xdr:colOff>
      <xdr:row>161</xdr:row>
      <xdr:rowOff>27800</xdr:rowOff>
    </xdr:from>
    <xdr:to>
      <xdr:col>20</xdr:col>
      <xdr:colOff>311601</xdr:colOff>
      <xdr:row>163</xdr:row>
      <xdr:rowOff>53650</xdr:rowOff>
    </xdr:to>
    <xdr:sp macro="" textlink="ANALYSIS!AE92">
      <xdr:nvSpPr>
        <xdr:cNvPr id="400" name="TextBox 399">
          <a:extLst>
            <a:ext uri="{FF2B5EF4-FFF2-40B4-BE49-F238E27FC236}">
              <a16:creationId xmlns:a16="http://schemas.microsoft.com/office/drawing/2014/main" id="{0B698B99-4E4D-4CC2-A6CE-3E66CA0CEFB1}"/>
            </a:ext>
          </a:extLst>
        </xdr:cNvPr>
        <xdr:cNvSpPr txBox="1"/>
      </xdr:nvSpPr>
      <xdr:spPr>
        <a:xfrm>
          <a:off x="11705389" y="28930012"/>
          <a:ext cx="798212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24A70C9-21F1-4498-B8B0-2DD25AE50AB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</a:t>
          </a:fld>
          <a:endParaRPr lang="et-EE" sz="1100"/>
        </a:p>
      </xdr:txBody>
    </xdr:sp>
    <xdr:clientData/>
  </xdr:twoCellAnchor>
  <xdr:twoCellAnchor>
    <xdr:from>
      <xdr:col>20</xdr:col>
      <xdr:colOff>311601</xdr:colOff>
      <xdr:row>161</xdr:row>
      <xdr:rowOff>27800</xdr:rowOff>
    </xdr:from>
    <xdr:to>
      <xdr:col>21</xdr:col>
      <xdr:colOff>479258</xdr:colOff>
      <xdr:row>163</xdr:row>
      <xdr:rowOff>53650</xdr:rowOff>
    </xdr:to>
    <xdr:sp macro="" textlink="ANALYSIS!AF92">
      <xdr:nvSpPr>
        <xdr:cNvPr id="401" name="TextBox 400">
          <a:extLst>
            <a:ext uri="{FF2B5EF4-FFF2-40B4-BE49-F238E27FC236}">
              <a16:creationId xmlns:a16="http://schemas.microsoft.com/office/drawing/2014/main" id="{2636A87C-4674-48FA-8FA4-446B604936A4}"/>
            </a:ext>
          </a:extLst>
        </xdr:cNvPr>
        <xdr:cNvSpPr txBox="1"/>
      </xdr:nvSpPr>
      <xdr:spPr>
        <a:xfrm>
          <a:off x="12503601" y="28930012"/>
          <a:ext cx="777257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F4ECFCA-F14F-4302-910B-7B91B6106BB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11</xdr:col>
      <xdr:colOff>134473</xdr:colOff>
      <xdr:row>163</xdr:row>
      <xdr:rowOff>53650</xdr:rowOff>
    </xdr:from>
    <xdr:to>
      <xdr:col>12</xdr:col>
      <xdr:colOff>462905</xdr:colOff>
      <xdr:row>165</xdr:row>
      <xdr:rowOff>98550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6B6F968B-CA8B-4D04-817C-0EE130A07D38}"/>
            </a:ext>
          </a:extLst>
        </xdr:cNvPr>
        <xdr:cNvSpPr txBox="1"/>
      </xdr:nvSpPr>
      <xdr:spPr>
        <a:xfrm>
          <a:off x="6840073" y="29314450"/>
          <a:ext cx="938032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LOWPRESS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462905</xdr:colOff>
      <xdr:row>163</xdr:row>
      <xdr:rowOff>53650</xdr:rowOff>
    </xdr:from>
    <xdr:to>
      <xdr:col>14</xdr:col>
      <xdr:colOff>26677</xdr:colOff>
      <xdr:row>165</xdr:row>
      <xdr:rowOff>98550</xdr:rowOff>
    </xdr:to>
    <xdr:sp macro="" textlink="ANALYSIS!Z93">
      <xdr:nvSpPr>
        <xdr:cNvPr id="403" name="TextBox 402">
          <a:extLst>
            <a:ext uri="{FF2B5EF4-FFF2-40B4-BE49-F238E27FC236}">
              <a16:creationId xmlns:a16="http://schemas.microsoft.com/office/drawing/2014/main" id="{A05F6A22-CDF2-44AC-89C8-78DA8545A28E}"/>
            </a:ext>
          </a:extLst>
        </xdr:cNvPr>
        <xdr:cNvSpPr txBox="1"/>
      </xdr:nvSpPr>
      <xdr:spPr>
        <a:xfrm>
          <a:off x="7778105" y="29314450"/>
          <a:ext cx="782972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0444ECB-8CBD-48F8-A874-412A2135105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14</xdr:col>
      <xdr:colOff>26677</xdr:colOff>
      <xdr:row>163</xdr:row>
      <xdr:rowOff>53650</xdr:rowOff>
    </xdr:from>
    <xdr:to>
      <xdr:col>15</xdr:col>
      <xdr:colOff>194831</xdr:colOff>
      <xdr:row>165</xdr:row>
      <xdr:rowOff>98550</xdr:rowOff>
    </xdr:to>
    <xdr:sp macro="" textlink="ANALYSIS!AA93">
      <xdr:nvSpPr>
        <xdr:cNvPr id="404" name="TextBox 403">
          <a:extLst>
            <a:ext uri="{FF2B5EF4-FFF2-40B4-BE49-F238E27FC236}">
              <a16:creationId xmlns:a16="http://schemas.microsoft.com/office/drawing/2014/main" id="{53ECEE23-859A-46B0-85BD-715DE1B38995}"/>
            </a:ext>
          </a:extLst>
        </xdr:cNvPr>
        <xdr:cNvSpPr txBox="1"/>
      </xdr:nvSpPr>
      <xdr:spPr>
        <a:xfrm>
          <a:off x="8561077" y="29314450"/>
          <a:ext cx="777754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C99090B-5876-4880-AC38-785E7EB7EB1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</a:t>
          </a:fld>
          <a:endParaRPr lang="et-EE" sz="1100"/>
        </a:p>
      </xdr:txBody>
    </xdr:sp>
    <xdr:clientData/>
  </xdr:twoCellAnchor>
  <xdr:twoCellAnchor>
    <xdr:from>
      <xdr:col>15</xdr:col>
      <xdr:colOff>194831</xdr:colOff>
      <xdr:row>163</xdr:row>
      <xdr:rowOff>53650</xdr:rowOff>
    </xdr:from>
    <xdr:to>
      <xdr:col>16</xdr:col>
      <xdr:colOff>387253</xdr:colOff>
      <xdr:row>165</xdr:row>
      <xdr:rowOff>98550</xdr:rowOff>
    </xdr:to>
    <xdr:sp macro="" textlink="ANALYSIS!AB93">
      <xdr:nvSpPr>
        <xdr:cNvPr id="405" name="TextBox 404">
          <a:extLst>
            <a:ext uri="{FF2B5EF4-FFF2-40B4-BE49-F238E27FC236}">
              <a16:creationId xmlns:a16="http://schemas.microsoft.com/office/drawing/2014/main" id="{1BEBF0AE-4587-4432-8648-813CBCBF1552}"/>
            </a:ext>
          </a:extLst>
        </xdr:cNvPr>
        <xdr:cNvSpPr txBox="1"/>
      </xdr:nvSpPr>
      <xdr:spPr>
        <a:xfrm>
          <a:off x="9338831" y="29314450"/>
          <a:ext cx="802022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9514B2D-DB66-468D-9FDC-05C7AB6D15A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16</xdr:col>
      <xdr:colOff>387253</xdr:colOff>
      <xdr:row>163</xdr:row>
      <xdr:rowOff>53650</xdr:rowOff>
    </xdr:from>
    <xdr:to>
      <xdr:col>17</xdr:col>
      <xdr:colOff>577770</xdr:colOff>
      <xdr:row>165</xdr:row>
      <xdr:rowOff>98550</xdr:rowOff>
    </xdr:to>
    <xdr:sp macro="" textlink="ANALYSIS!AC93">
      <xdr:nvSpPr>
        <xdr:cNvPr id="406" name="TextBox 405">
          <a:extLst>
            <a:ext uri="{FF2B5EF4-FFF2-40B4-BE49-F238E27FC236}">
              <a16:creationId xmlns:a16="http://schemas.microsoft.com/office/drawing/2014/main" id="{C386D371-7D15-4B0E-AC5D-32ABBC367C06}"/>
            </a:ext>
          </a:extLst>
        </xdr:cNvPr>
        <xdr:cNvSpPr txBox="1"/>
      </xdr:nvSpPr>
      <xdr:spPr>
        <a:xfrm>
          <a:off x="10140853" y="29314450"/>
          <a:ext cx="800117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AEF0F5F-BEAF-4169-A9AC-095316326C1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17</xdr:col>
      <xdr:colOff>577770</xdr:colOff>
      <xdr:row>163</xdr:row>
      <xdr:rowOff>53650</xdr:rowOff>
    </xdr:from>
    <xdr:to>
      <xdr:col>19</xdr:col>
      <xdr:colOff>122989</xdr:colOff>
      <xdr:row>165</xdr:row>
      <xdr:rowOff>98550</xdr:rowOff>
    </xdr:to>
    <xdr:sp macro="" textlink="ANALYSIS!AD93">
      <xdr:nvSpPr>
        <xdr:cNvPr id="407" name="TextBox 406">
          <a:extLst>
            <a:ext uri="{FF2B5EF4-FFF2-40B4-BE49-F238E27FC236}">
              <a16:creationId xmlns:a16="http://schemas.microsoft.com/office/drawing/2014/main" id="{2C6F3BA1-9704-4AC4-AB5E-FA94A841BC6C}"/>
            </a:ext>
          </a:extLst>
        </xdr:cNvPr>
        <xdr:cNvSpPr txBox="1"/>
      </xdr:nvSpPr>
      <xdr:spPr>
        <a:xfrm>
          <a:off x="10940970" y="29314450"/>
          <a:ext cx="764419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EDBBC58-6120-4EA2-8CCE-FDE90F9D8EB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19</xdr:col>
      <xdr:colOff>122989</xdr:colOff>
      <xdr:row>163</xdr:row>
      <xdr:rowOff>53650</xdr:rowOff>
    </xdr:from>
    <xdr:to>
      <xdr:col>20</xdr:col>
      <xdr:colOff>311601</xdr:colOff>
      <xdr:row>165</xdr:row>
      <xdr:rowOff>98550</xdr:rowOff>
    </xdr:to>
    <xdr:sp macro="" textlink="ANALYSIS!AE93">
      <xdr:nvSpPr>
        <xdr:cNvPr id="408" name="TextBox 407">
          <a:extLst>
            <a:ext uri="{FF2B5EF4-FFF2-40B4-BE49-F238E27FC236}">
              <a16:creationId xmlns:a16="http://schemas.microsoft.com/office/drawing/2014/main" id="{03168967-0818-4DD9-8D9E-4386EB11F738}"/>
            </a:ext>
          </a:extLst>
        </xdr:cNvPr>
        <xdr:cNvSpPr txBox="1"/>
      </xdr:nvSpPr>
      <xdr:spPr>
        <a:xfrm>
          <a:off x="11705389" y="29314450"/>
          <a:ext cx="798212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930015D-229D-46A0-9C72-A741F0568E9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20</xdr:col>
      <xdr:colOff>311601</xdr:colOff>
      <xdr:row>163</xdr:row>
      <xdr:rowOff>53650</xdr:rowOff>
    </xdr:from>
    <xdr:to>
      <xdr:col>21</xdr:col>
      <xdr:colOff>479258</xdr:colOff>
      <xdr:row>165</xdr:row>
      <xdr:rowOff>98550</xdr:rowOff>
    </xdr:to>
    <xdr:sp macro="" textlink="ANALYSIS!AF93">
      <xdr:nvSpPr>
        <xdr:cNvPr id="409" name="TextBox 408">
          <a:extLst>
            <a:ext uri="{FF2B5EF4-FFF2-40B4-BE49-F238E27FC236}">
              <a16:creationId xmlns:a16="http://schemas.microsoft.com/office/drawing/2014/main" id="{16A73643-827F-42E0-A56A-7A3660C525BB}"/>
            </a:ext>
          </a:extLst>
        </xdr:cNvPr>
        <xdr:cNvSpPr txBox="1"/>
      </xdr:nvSpPr>
      <xdr:spPr>
        <a:xfrm>
          <a:off x="12503601" y="29314450"/>
          <a:ext cx="777257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ABC04B4-06F0-4092-B1B4-18F2AF44F57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11</xdr:col>
      <xdr:colOff>16601</xdr:colOff>
      <xdr:row>145</xdr:row>
      <xdr:rowOff>177088</xdr:rowOff>
    </xdr:from>
    <xdr:to>
      <xdr:col>21</xdr:col>
      <xdr:colOff>588447</xdr:colOff>
      <xdr:row>148</xdr:row>
      <xdr:rowOff>177090</xdr:rowOff>
    </xdr:to>
    <xdr:sp macro="" textlink="">
      <xdr:nvSpPr>
        <xdr:cNvPr id="418" name="TextBox 417">
          <a:extLst>
            <a:ext uri="{FF2B5EF4-FFF2-40B4-BE49-F238E27FC236}">
              <a16:creationId xmlns:a16="http://schemas.microsoft.com/office/drawing/2014/main" id="{7DEC1E7C-FF93-403B-9750-4856FA7396B4}"/>
            </a:ext>
          </a:extLst>
        </xdr:cNvPr>
        <xdr:cNvSpPr txBox="1"/>
      </xdr:nvSpPr>
      <xdr:spPr>
        <a:xfrm>
          <a:off x="6758644" y="26623458"/>
          <a:ext cx="6700977" cy="54665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PRESSING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3313</xdr:colOff>
      <xdr:row>150</xdr:row>
      <xdr:rowOff>53593</xdr:rowOff>
    </xdr:from>
    <xdr:to>
      <xdr:col>21</xdr:col>
      <xdr:colOff>586740</xdr:colOff>
      <xdr:row>155</xdr:row>
      <xdr:rowOff>142875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9CAB4D0A-78C7-410D-85BD-54D8178323BC}"/>
            </a:ext>
          </a:extLst>
        </xdr:cNvPr>
        <xdr:cNvSpPr txBox="1"/>
      </xdr:nvSpPr>
      <xdr:spPr>
        <a:xfrm>
          <a:off x="6708913" y="27228418"/>
          <a:ext cx="6679427" cy="99415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Progression</a:t>
          </a:r>
          <a:r>
            <a:rPr lang="en-US" sz="2400" b="0" baseline="0">
              <a:latin typeface="Titillium Bd" panose="00000800000000000000" pitchFamily="50" charset="0"/>
            </a:rPr>
            <a:t> vs Pressing</a:t>
          </a:r>
          <a:br>
            <a:rPr lang="en-US" sz="2400" b="0" baseline="0">
              <a:latin typeface="Titillium Bd" panose="00000800000000000000" pitchFamily="50" charset="0"/>
            </a:rPr>
          </a:br>
          <a:r>
            <a:rPr lang="en-US" sz="2400" b="0" baseline="0">
              <a:latin typeface="Titillium Bd" panose="00000800000000000000" pitchFamily="50" charset="0"/>
            </a:rPr>
            <a:t>EESTI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161365</xdr:colOff>
      <xdr:row>174</xdr:row>
      <xdr:rowOff>26895</xdr:rowOff>
    </xdr:from>
    <xdr:to>
      <xdr:col>12</xdr:col>
      <xdr:colOff>419321</xdr:colOff>
      <xdr:row>176</xdr:row>
      <xdr:rowOff>164254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50AA1AAA-9084-47AD-A395-6E7337DA516C}"/>
            </a:ext>
          </a:extLst>
        </xdr:cNvPr>
        <xdr:cNvSpPr txBox="1"/>
      </xdr:nvSpPr>
      <xdr:spPr>
        <a:xfrm>
          <a:off x="6866965" y="31259930"/>
          <a:ext cx="867556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TSOON</a:t>
          </a:r>
        </a:p>
        <a:p>
          <a:pPr algn="ctr"/>
          <a:r>
            <a:rPr lang="en-US" sz="1050">
              <a:latin typeface="Titillium Bd" panose="00000800000000000000" pitchFamily="50" charset="0"/>
            </a:rPr>
            <a:t>PRESSING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419321</xdr:colOff>
      <xdr:row>174</xdr:row>
      <xdr:rowOff>26895</xdr:rowOff>
    </xdr:from>
    <xdr:to>
      <xdr:col>13</xdr:col>
      <xdr:colOff>573643</xdr:colOff>
      <xdr:row>176</xdr:row>
      <xdr:rowOff>164254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3B2D088D-99A6-4A92-884D-4B646B98027E}"/>
            </a:ext>
          </a:extLst>
        </xdr:cNvPr>
        <xdr:cNvSpPr txBox="1"/>
      </xdr:nvSpPr>
      <xdr:spPr>
        <a:xfrm>
          <a:off x="7734521" y="31259930"/>
          <a:ext cx="763922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S1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573643</xdr:colOff>
      <xdr:row>174</xdr:row>
      <xdr:rowOff>26895</xdr:rowOff>
    </xdr:from>
    <xdr:to>
      <xdr:col>15</xdr:col>
      <xdr:colOff>151247</xdr:colOff>
      <xdr:row>176</xdr:row>
      <xdr:rowOff>164254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D60CC740-B935-4C09-B3A1-C7FFE0900BD9}"/>
            </a:ext>
          </a:extLst>
        </xdr:cNvPr>
        <xdr:cNvSpPr txBox="1"/>
      </xdr:nvSpPr>
      <xdr:spPr>
        <a:xfrm>
          <a:off x="8498443" y="31259930"/>
          <a:ext cx="796804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S2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15</xdr:col>
      <xdr:colOff>151247</xdr:colOff>
      <xdr:row>174</xdr:row>
      <xdr:rowOff>26895</xdr:rowOff>
    </xdr:from>
    <xdr:to>
      <xdr:col>16</xdr:col>
      <xdr:colOff>343669</xdr:colOff>
      <xdr:row>176</xdr:row>
      <xdr:rowOff>164254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C77D51FD-2DF5-42A1-B492-D53AB74EB2B5}"/>
            </a:ext>
          </a:extLst>
        </xdr:cNvPr>
        <xdr:cNvSpPr txBox="1"/>
      </xdr:nvSpPr>
      <xdr:spPr>
        <a:xfrm>
          <a:off x="9295247" y="31259930"/>
          <a:ext cx="802022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S1 S2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16</xdr:col>
      <xdr:colOff>343669</xdr:colOff>
      <xdr:row>174</xdr:row>
      <xdr:rowOff>26895</xdr:rowOff>
    </xdr:from>
    <xdr:to>
      <xdr:col>17</xdr:col>
      <xdr:colOff>528471</xdr:colOff>
      <xdr:row>176</xdr:row>
      <xdr:rowOff>164254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C74BB20C-5387-4DE8-9F62-BC075C32DD5F}"/>
            </a:ext>
          </a:extLst>
        </xdr:cNvPr>
        <xdr:cNvSpPr txBox="1"/>
      </xdr:nvSpPr>
      <xdr:spPr>
        <a:xfrm>
          <a:off x="10097269" y="31259930"/>
          <a:ext cx="794402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S1 S2 S3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17</xdr:col>
      <xdr:colOff>528471</xdr:colOff>
      <xdr:row>174</xdr:row>
      <xdr:rowOff>26895</xdr:rowOff>
    </xdr:from>
    <xdr:to>
      <xdr:col>19</xdr:col>
      <xdr:colOff>73690</xdr:colOff>
      <xdr:row>176</xdr:row>
      <xdr:rowOff>164254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EA3D160A-C84B-44BC-A125-37F452628B1B}"/>
            </a:ext>
          </a:extLst>
        </xdr:cNvPr>
        <xdr:cNvSpPr txBox="1"/>
      </xdr:nvSpPr>
      <xdr:spPr>
        <a:xfrm>
          <a:off x="10891671" y="31259930"/>
          <a:ext cx="764419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S1 S3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19</xdr:col>
      <xdr:colOff>73690</xdr:colOff>
      <xdr:row>174</xdr:row>
      <xdr:rowOff>26895</xdr:rowOff>
    </xdr:from>
    <xdr:to>
      <xdr:col>20</xdr:col>
      <xdr:colOff>262302</xdr:colOff>
      <xdr:row>176</xdr:row>
      <xdr:rowOff>164254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83B682E9-AE52-4983-8125-07B95E9909A7}"/>
            </a:ext>
          </a:extLst>
        </xdr:cNvPr>
        <xdr:cNvSpPr txBox="1"/>
      </xdr:nvSpPr>
      <xdr:spPr>
        <a:xfrm>
          <a:off x="11656090" y="31259930"/>
          <a:ext cx="798212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S2 S3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20</xdr:col>
      <xdr:colOff>262302</xdr:colOff>
      <xdr:row>174</xdr:row>
      <xdr:rowOff>26895</xdr:rowOff>
    </xdr:from>
    <xdr:to>
      <xdr:col>21</xdr:col>
      <xdr:colOff>435674</xdr:colOff>
      <xdr:row>176</xdr:row>
      <xdr:rowOff>164254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7AA64975-C656-4351-9FA8-C85771C5A783}"/>
            </a:ext>
          </a:extLst>
        </xdr:cNvPr>
        <xdr:cNvSpPr txBox="1"/>
      </xdr:nvSpPr>
      <xdr:spPr>
        <a:xfrm>
          <a:off x="12454302" y="31259930"/>
          <a:ext cx="782972" cy="495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S3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161365</xdr:colOff>
      <xdr:row>176</xdr:row>
      <xdr:rowOff>164253</xdr:rowOff>
    </xdr:from>
    <xdr:to>
      <xdr:col>12</xdr:col>
      <xdr:colOff>419321</xdr:colOff>
      <xdr:row>179</xdr:row>
      <xdr:rowOff>48910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943E9D4E-E33C-40BD-93FA-9767F8A3D136}"/>
            </a:ext>
          </a:extLst>
        </xdr:cNvPr>
        <xdr:cNvSpPr txBox="1"/>
      </xdr:nvSpPr>
      <xdr:spPr>
        <a:xfrm>
          <a:off x="6866965" y="31755877"/>
          <a:ext cx="867556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HIGHPRESS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419321</xdr:colOff>
      <xdr:row>176</xdr:row>
      <xdr:rowOff>164253</xdr:rowOff>
    </xdr:from>
    <xdr:to>
      <xdr:col>13</xdr:col>
      <xdr:colOff>573643</xdr:colOff>
      <xdr:row>179</xdr:row>
      <xdr:rowOff>48910</xdr:rowOff>
    </xdr:to>
    <xdr:sp macro="" textlink="ANALYSIS!Z98">
      <xdr:nvSpPr>
        <xdr:cNvPr id="429" name="TextBox 428">
          <a:extLst>
            <a:ext uri="{FF2B5EF4-FFF2-40B4-BE49-F238E27FC236}">
              <a16:creationId xmlns:a16="http://schemas.microsoft.com/office/drawing/2014/main" id="{4F0177E4-328D-40CB-954F-C65E88CB9347}"/>
            </a:ext>
          </a:extLst>
        </xdr:cNvPr>
        <xdr:cNvSpPr txBox="1"/>
      </xdr:nvSpPr>
      <xdr:spPr>
        <a:xfrm>
          <a:off x="7734521" y="31755877"/>
          <a:ext cx="763922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C4BB125-84AE-46CE-B74B-B5F4B7B0E19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7</a:t>
          </a:fld>
          <a:endParaRPr lang="et-EE" sz="1100"/>
        </a:p>
      </xdr:txBody>
    </xdr:sp>
    <xdr:clientData/>
  </xdr:twoCellAnchor>
  <xdr:twoCellAnchor>
    <xdr:from>
      <xdr:col>13</xdr:col>
      <xdr:colOff>573643</xdr:colOff>
      <xdr:row>176</xdr:row>
      <xdr:rowOff>164253</xdr:rowOff>
    </xdr:from>
    <xdr:to>
      <xdr:col>15</xdr:col>
      <xdr:colOff>151247</xdr:colOff>
      <xdr:row>179</xdr:row>
      <xdr:rowOff>48910</xdr:rowOff>
    </xdr:to>
    <xdr:sp macro="" textlink="ANALYSIS!AA98">
      <xdr:nvSpPr>
        <xdr:cNvPr id="430" name="TextBox 429">
          <a:extLst>
            <a:ext uri="{FF2B5EF4-FFF2-40B4-BE49-F238E27FC236}">
              <a16:creationId xmlns:a16="http://schemas.microsoft.com/office/drawing/2014/main" id="{9BA1F232-AB32-4AB7-8E52-E2BA1D096612}"/>
            </a:ext>
          </a:extLst>
        </xdr:cNvPr>
        <xdr:cNvSpPr txBox="1"/>
      </xdr:nvSpPr>
      <xdr:spPr>
        <a:xfrm>
          <a:off x="8498443" y="31755877"/>
          <a:ext cx="796804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F43FB28-ABBD-4A3C-8C1A-29E3CC9265E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15</xdr:col>
      <xdr:colOff>151247</xdr:colOff>
      <xdr:row>176</xdr:row>
      <xdr:rowOff>164253</xdr:rowOff>
    </xdr:from>
    <xdr:to>
      <xdr:col>16</xdr:col>
      <xdr:colOff>343669</xdr:colOff>
      <xdr:row>179</xdr:row>
      <xdr:rowOff>48910</xdr:rowOff>
    </xdr:to>
    <xdr:sp macro="" textlink="ANALYSIS!AB98">
      <xdr:nvSpPr>
        <xdr:cNvPr id="431" name="TextBox 430">
          <a:extLst>
            <a:ext uri="{FF2B5EF4-FFF2-40B4-BE49-F238E27FC236}">
              <a16:creationId xmlns:a16="http://schemas.microsoft.com/office/drawing/2014/main" id="{D84E621F-F5AD-47D7-9A51-C01B8A646F64}"/>
            </a:ext>
          </a:extLst>
        </xdr:cNvPr>
        <xdr:cNvSpPr txBox="1"/>
      </xdr:nvSpPr>
      <xdr:spPr>
        <a:xfrm>
          <a:off x="9295247" y="31755877"/>
          <a:ext cx="802022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29A035E-48EC-4399-879D-8B1DE1C43CF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16</xdr:col>
      <xdr:colOff>343669</xdr:colOff>
      <xdr:row>176</xdr:row>
      <xdr:rowOff>164253</xdr:rowOff>
    </xdr:from>
    <xdr:to>
      <xdr:col>17</xdr:col>
      <xdr:colOff>528471</xdr:colOff>
      <xdr:row>179</xdr:row>
      <xdr:rowOff>48910</xdr:rowOff>
    </xdr:to>
    <xdr:sp macro="" textlink="ANALYSIS!AC98">
      <xdr:nvSpPr>
        <xdr:cNvPr id="432" name="TextBox 431">
          <a:extLst>
            <a:ext uri="{FF2B5EF4-FFF2-40B4-BE49-F238E27FC236}">
              <a16:creationId xmlns:a16="http://schemas.microsoft.com/office/drawing/2014/main" id="{333F2313-F232-4E82-91BB-EF9EB0236479}"/>
            </a:ext>
          </a:extLst>
        </xdr:cNvPr>
        <xdr:cNvSpPr txBox="1"/>
      </xdr:nvSpPr>
      <xdr:spPr>
        <a:xfrm>
          <a:off x="10097269" y="31755877"/>
          <a:ext cx="794402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DB2DDFC-FB8C-4A09-A6FD-AF7AA8B655E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17</xdr:col>
      <xdr:colOff>528471</xdr:colOff>
      <xdr:row>176</xdr:row>
      <xdr:rowOff>164253</xdr:rowOff>
    </xdr:from>
    <xdr:to>
      <xdr:col>19</xdr:col>
      <xdr:colOff>73690</xdr:colOff>
      <xdr:row>179</xdr:row>
      <xdr:rowOff>48910</xdr:rowOff>
    </xdr:to>
    <xdr:sp macro="" textlink="ANALYSIS!AD98">
      <xdr:nvSpPr>
        <xdr:cNvPr id="433" name="TextBox 432">
          <a:extLst>
            <a:ext uri="{FF2B5EF4-FFF2-40B4-BE49-F238E27FC236}">
              <a16:creationId xmlns:a16="http://schemas.microsoft.com/office/drawing/2014/main" id="{0AF9995D-B1D3-436A-A526-C032844DD7D8}"/>
            </a:ext>
          </a:extLst>
        </xdr:cNvPr>
        <xdr:cNvSpPr txBox="1"/>
      </xdr:nvSpPr>
      <xdr:spPr>
        <a:xfrm>
          <a:off x="10891671" y="31755877"/>
          <a:ext cx="764419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2506234-C764-4356-8972-7E921FC427D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19</xdr:col>
      <xdr:colOff>73690</xdr:colOff>
      <xdr:row>176</xdr:row>
      <xdr:rowOff>164253</xdr:rowOff>
    </xdr:from>
    <xdr:to>
      <xdr:col>20</xdr:col>
      <xdr:colOff>262302</xdr:colOff>
      <xdr:row>179</xdr:row>
      <xdr:rowOff>48910</xdr:rowOff>
    </xdr:to>
    <xdr:sp macro="" textlink="ANALYSIS!AE98">
      <xdr:nvSpPr>
        <xdr:cNvPr id="434" name="TextBox 433">
          <a:extLst>
            <a:ext uri="{FF2B5EF4-FFF2-40B4-BE49-F238E27FC236}">
              <a16:creationId xmlns:a16="http://schemas.microsoft.com/office/drawing/2014/main" id="{B6C9E8AC-041A-4511-8306-8F61049BC6C9}"/>
            </a:ext>
          </a:extLst>
        </xdr:cNvPr>
        <xdr:cNvSpPr txBox="1"/>
      </xdr:nvSpPr>
      <xdr:spPr>
        <a:xfrm>
          <a:off x="11656090" y="31755877"/>
          <a:ext cx="798212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4DCADBC-5FDB-4EFF-B7B4-110412CD8C4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20</xdr:col>
      <xdr:colOff>262302</xdr:colOff>
      <xdr:row>176</xdr:row>
      <xdr:rowOff>164253</xdr:rowOff>
    </xdr:from>
    <xdr:to>
      <xdr:col>21</xdr:col>
      <xdr:colOff>435674</xdr:colOff>
      <xdr:row>179</xdr:row>
      <xdr:rowOff>48910</xdr:rowOff>
    </xdr:to>
    <xdr:sp macro="" textlink="ANALYSIS!AF98">
      <xdr:nvSpPr>
        <xdr:cNvPr id="435" name="TextBox 434">
          <a:extLst>
            <a:ext uri="{FF2B5EF4-FFF2-40B4-BE49-F238E27FC236}">
              <a16:creationId xmlns:a16="http://schemas.microsoft.com/office/drawing/2014/main" id="{A746E3CE-3EED-4F8A-BA45-B4423C581A57}"/>
            </a:ext>
          </a:extLst>
        </xdr:cNvPr>
        <xdr:cNvSpPr txBox="1"/>
      </xdr:nvSpPr>
      <xdr:spPr>
        <a:xfrm>
          <a:off x="12454302" y="31755877"/>
          <a:ext cx="782972" cy="42253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7BF595F-EE6D-4D2A-82A9-76B6CEB1665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11</xdr:col>
      <xdr:colOff>161365</xdr:colOff>
      <xdr:row>179</xdr:row>
      <xdr:rowOff>48910</xdr:rowOff>
    </xdr:from>
    <xdr:to>
      <xdr:col>12</xdr:col>
      <xdr:colOff>419321</xdr:colOff>
      <xdr:row>181</xdr:row>
      <xdr:rowOff>70950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FF953138-F089-4A3C-9FAE-C98AAC290F0D}"/>
            </a:ext>
          </a:extLst>
        </xdr:cNvPr>
        <xdr:cNvSpPr txBox="1"/>
      </xdr:nvSpPr>
      <xdr:spPr>
        <a:xfrm>
          <a:off x="6866965" y="32178416"/>
          <a:ext cx="867556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MIDPRESS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419321</xdr:colOff>
      <xdr:row>179</xdr:row>
      <xdr:rowOff>48910</xdr:rowOff>
    </xdr:from>
    <xdr:to>
      <xdr:col>13</xdr:col>
      <xdr:colOff>573643</xdr:colOff>
      <xdr:row>181</xdr:row>
      <xdr:rowOff>70950</xdr:rowOff>
    </xdr:to>
    <xdr:sp macro="" textlink="ANALYSIS!Z99">
      <xdr:nvSpPr>
        <xdr:cNvPr id="437" name="TextBox 436">
          <a:extLst>
            <a:ext uri="{FF2B5EF4-FFF2-40B4-BE49-F238E27FC236}">
              <a16:creationId xmlns:a16="http://schemas.microsoft.com/office/drawing/2014/main" id="{4E09161D-FD01-44EE-925B-3B1685D10447}"/>
            </a:ext>
          </a:extLst>
        </xdr:cNvPr>
        <xdr:cNvSpPr txBox="1"/>
      </xdr:nvSpPr>
      <xdr:spPr>
        <a:xfrm>
          <a:off x="7734521" y="32178416"/>
          <a:ext cx="763922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C2E0205-6A2D-4AA6-82D5-A783D2098BB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13</xdr:col>
      <xdr:colOff>573643</xdr:colOff>
      <xdr:row>179</xdr:row>
      <xdr:rowOff>48910</xdr:rowOff>
    </xdr:from>
    <xdr:to>
      <xdr:col>15</xdr:col>
      <xdr:colOff>151247</xdr:colOff>
      <xdr:row>181</xdr:row>
      <xdr:rowOff>70950</xdr:rowOff>
    </xdr:to>
    <xdr:sp macro="" textlink="ANALYSIS!AA99">
      <xdr:nvSpPr>
        <xdr:cNvPr id="438" name="TextBox 437">
          <a:extLst>
            <a:ext uri="{FF2B5EF4-FFF2-40B4-BE49-F238E27FC236}">
              <a16:creationId xmlns:a16="http://schemas.microsoft.com/office/drawing/2014/main" id="{D31AB886-E588-4455-B294-886654C8B13A}"/>
            </a:ext>
          </a:extLst>
        </xdr:cNvPr>
        <xdr:cNvSpPr txBox="1"/>
      </xdr:nvSpPr>
      <xdr:spPr>
        <a:xfrm>
          <a:off x="8498443" y="32178416"/>
          <a:ext cx="796804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F411F63-870F-4A54-8B0F-A2729CE0DC2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9</a:t>
          </a:fld>
          <a:endParaRPr lang="et-EE" sz="1100"/>
        </a:p>
      </xdr:txBody>
    </xdr:sp>
    <xdr:clientData/>
  </xdr:twoCellAnchor>
  <xdr:twoCellAnchor>
    <xdr:from>
      <xdr:col>15</xdr:col>
      <xdr:colOff>151247</xdr:colOff>
      <xdr:row>179</xdr:row>
      <xdr:rowOff>48910</xdr:rowOff>
    </xdr:from>
    <xdr:to>
      <xdr:col>16</xdr:col>
      <xdr:colOff>343669</xdr:colOff>
      <xdr:row>181</xdr:row>
      <xdr:rowOff>70950</xdr:rowOff>
    </xdr:to>
    <xdr:sp macro="" textlink="ANALYSIS!AB99">
      <xdr:nvSpPr>
        <xdr:cNvPr id="439" name="TextBox 438">
          <a:extLst>
            <a:ext uri="{FF2B5EF4-FFF2-40B4-BE49-F238E27FC236}">
              <a16:creationId xmlns:a16="http://schemas.microsoft.com/office/drawing/2014/main" id="{205C27EE-EFCF-462E-B0F4-D46EBB15A1EB}"/>
            </a:ext>
          </a:extLst>
        </xdr:cNvPr>
        <xdr:cNvSpPr txBox="1"/>
      </xdr:nvSpPr>
      <xdr:spPr>
        <a:xfrm>
          <a:off x="9295247" y="32178416"/>
          <a:ext cx="802022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3272BE9-2203-4B1A-9BF2-FD31DD6A56B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16</xdr:col>
      <xdr:colOff>343669</xdr:colOff>
      <xdr:row>179</xdr:row>
      <xdr:rowOff>48910</xdr:rowOff>
    </xdr:from>
    <xdr:to>
      <xdr:col>17</xdr:col>
      <xdr:colOff>528471</xdr:colOff>
      <xdr:row>181</xdr:row>
      <xdr:rowOff>70950</xdr:rowOff>
    </xdr:to>
    <xdr:sp macro="" textlink="ANALYSIS!AC99">
      <xdr:nvSpPr>
        <xdr:cNvPr id="440" name="TextBox 439">
          <a:extLst>
            <a:ext uri="{FF2B5EF4-FFF2-40B4-BE49-F238E27FC236}">
              <a16:creationId xmlns:a16="http://schemas.microsoft.com/office/drawing/2014/main" id="{D712CC03-607C-4FB4-9F34-FEA866FACE13}"/>
            </a:ext>
          </a:extLst>
        </xdr:cNvPr>
        <xdr:cNvSpPr txBox="1"/>
      </xdr:nvSpPr>
      <xdr:spPr>
        <a:xfrm>
          <a:off x="10097269" y="32178416"/>
          <a:ext cx="794402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173A381-018C-4706-8059-A7D41A2193A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17</xdr:col>
      <xdr:colOff>528471</xdr:colOff>
      <xdr:row>179</xdr:row>
      <xdr:rowOff>48910</xdr:rowOff>
    </xdr:from>
    <xdr:to>
      <xdr:col>19</xdr:col>
      <xdr:colOff>73690</xdr:colOff>
      <xdr:row>181</xdr:row>
      <xdr:rowOff>70950</xdr:rowOff>
    </xdr:to>
    <xdr:sp macro="" textlink="ANALYSIS!AD99">
      <xdr:nvSpPr>
        <xdr:cNvPr id="441" name="TextBox 440">
          <a:extLst>
            <a:ext uri="{FF2B5EF4-FFF2-40B4-BE49-F238E27FC236}">
              <a16:creationId xmlns:a16="http://schemas.microsoft.com/office/drawing/2014/main" id="{14D3C9A9-DB87-4491-887C-E0BA0857E316}"/>
            </a:ext>
          </a:extLst>
        </xdr:cNvPr>
        <xdr:cNvSpPr txBox="1"/>
      </xdr:nvSpPr>
      <xdr:spPr>
        <a:xfrm>
          <a:off x="10891671" y="32178416"/>
          <a:ext cx="764419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44141C8-EA68-4E84-B431-96FF3B2F9BB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19</xdr:col>
      <xdr:colOff>73690</xdr:colOff>
      <xdr:row>179</xdr:row>
      <xdr:rowOff>48910</xdr:rowOff>
    </xdr:from>
    <xdr:to>
      <xdr:col>20</xdr:col>
      <xdr:colOff>262302</xdr:colOff>
      <xdr:row>181</xdr:row>
      <xdr:rowOff>70950</xdr:rowOff>
    </xdr:to>
    <xdr:sp macro="" textlink="ANALYSIS!AE99">
      <xdr:nvSpPr>
        <xdr:cNvPr id="442" name="TextBox 441">
          <a:extLst>
            <a:ext uri="{FF2B5EF4-FFF2-40B4-BE49-F238E27FC236}">
              <a16:creationId xmlns:a16="http://schemas.microsoft.com/office/drawing/2014/main" id="{A4088E28-A33F-444C-B845-54D6DAAFD81A}"/>
            </a:ext>
          </a:extLst>
        </xdr:cNvPr>
        <xdr:cNvSpPr txBox="1"/>
      </xdr:nvSpPr>
      <xdr:spPr>
        <a:xfrm>
          <a:off x="11656090" y="32178416"/>
          <a:ext cx="798212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B9430D3-3180-4874-89A1-291B167D622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20</xdr:col>
      <xdr:colOff>262302</xdr:colOff>
      <xdr:row>179</xdr:row>
      <xdr:rowOff>48910</xdr:rowOff>
    </xdr:from>
    <xdr:to>
      <xdr:col>21</xdr:col>
      <xdr:colOff>435674</xdr:colOff>
      <xdr:row>181</xdr:row>
      <xdr:rowOff>70950</xdr:rowOff>
    </xdr:to>
    <xdr:sp macro="" textlink="ANALYSIS!AF99">
      <xdr:nvSpPr>
        <xdr:cNvPr id="443" name="TextBox 442">
          <a:extLst>
            <a:ext uri="{FF2B5EF4-FFF2-40B4-BE49-F238E27FC236}">
              <a16:creationId xmlns:a16="http://schemas.microsoft.com/office/drawing/2014/main" id="{A4C3D500-2676-4C8C-BEB7-DA02296D12A2}"/>
            </a:ext>
          </a:extLst>
        </xdr:cNvPr>
        <xdr:cNvSpPr txBox="1"/>
      </xdr:nvSpPr>
      <xdr:spPr>
        <a:xfrm>
          <a:off x="12454302" y="32178416"/>
          <a:ext cx="782972" cy="38062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B2EF861-9FFD-4CD3-8362-55D21A59EAA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11</xdr:col>
      <xdr:colOff>161365</xdr:colOff>
      <xdr:row>181</xdr:row>
      <xdr:rowOff>70950</xdr:rowOff>
    </xdr:from>
    <xdr:to>
      <xdr:col>12</xdr:col>
      <xdr:colOff>419321</xdr:colOff>
      <xdr:row>183</xdr:row>
      <xdr:rowOff>152932</xdr:rowOff>
    </xdr:to>
    <xdr:sp macro="" textlink="">
      <xdr:nvSpPr>
        <xdr:cNvPr id="444" name="TextBox 443">
          <a:extLst>
            <a:ext uri="{FF2B5EF4-FFF2-40B4-BE49-F238E27FC236}">
              <a16:creationId xmlns:a16="http://schemas.microsoft.com/office/drawing/2014/main" id="{65D3B153-9C04-4993-8231-A5D0EADD0B2B}"/>
            </a:ext>
          </a:extLst>
        </xdr:cNvPr>
        <xdr:cNvSpPr txBox="1"/>
      </xdr:nvSpPr>
      <xdr:spPr>
        <a:xfrm>
          <a:off x="6866965" y="32559044"/>
          <a:ext cx="867556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LOWPRESS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419321</xdr:colOff>
      <xdr:row>181</xdr:row>
      <xdr:rowOff>70950</xdr:rowOff>
    </xdr:from>
    <xdr:to>
      <xdr:col>13</xdr:col>
      <xdr:colOff>573643</xdr:colOff>
      <xdr:row>183</xdr:row>
      <xdr:rowOff>152932</xdr:rowOff>
    </xdr:to>
    <xdr:sp macro="" textlink="ANALYSIS!Z100">
      <xdr:nvSpPr>
        <xdr:cNvPr id="445" name="TextBox 444">
          <a:extLst>
            <a:ext uri="{FF2B5EF4-FFF2-40B4-BE49-F238E27FC236}">
              <a16:creationId xmlns:a16="http://schemas.microsoft.com/office/drawing/2014/main" id="{0015F943-2349-46B6-909A-C784616658C7}"/>
            </a:ext>
          </a:extLst>
        </xdr:cNvPr>
        <xdr:cNvSpPr txBox="1"/>
      </xdr:nvSpPr>
      <xdr:spPr>
        <a:xfrm>
          <a:off x="7734521" y="32559044"/>
          <a:ext cx="763922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EEA3273-1895-4BFA-8C47-76786E58278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13</xdr:col>
      <xdr:colOff>573643</xdr:colOff>
      <xdr:row>181</xdr:row>
      <xdr:rowOff>70950</xdr:rowOff>
    </xdr:from>
    <xdr:to>
      <xdr:col>15</xdr:col>
      <xdr:colOff>151247</xdr:colOff>
      <xdr:row>183</xdr:row>
      <xdr:rowOff>152932</xdr:rowOff>
    </xdr:to>
    <xdr:sp macro="" textlink="ANALYSIS!AA100">
      <xdr:nvSpPr>
        <xdr:cNvPr id="446" name="TextBox 445">
          <a:extLst>
            <a:ext uri="{FF2B5EF4-FFF2-40B4-BE49-F238E27FC236}">
              <a16:creationId xmlns:a16="http://schemas.microsoft.com/office/drawing/2014/main" id="{38FF83D5-6F92-41D7-ADD0-D25384B8E025}"/>
            </a:ext>
          </a:extLst>
        </xdr:cNvPr>
        <xdr:cNvSpPr txBox="1"/>
      </xdr:nvSpPr>
      <xdr:spPr>
        <a:xfrm>
          <a:off x="8498443" y="32559044"/>
          <a:ext cx="796804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50A0930-E833-4CFE-BC97-F64B6F91194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15</xdr:col>
      <xdr:colOff>151247</xdr:colOff>
      <xdr:row>181</xdr:row>
      <xdr:rowOff>70950</xdr:rowOff>
    </xdr:from>
    <xdr:to>
      <xdr:col>16</xdr:col>
      <xdr:colOff>343669</xdr:colOff>
      <xdr:row>183</xdr:row>
      <xdr:rowOff>152932</xdr:rowOff>
    </xdr:to>
    <xdr:sp macro="" textlink="ANALYSIS!AB100">
      <xdr:nvSpPr>
        <xdr:cNvPr id="447" name="TextBox 446">
          <a:extLst>
            <a:ext uri="{FF2B5EF4-FFF2-40B4-BE49-F238E27FC236}">
              <a16:creationId xmlns:a16="http://schemas.microsoft.com/office/drawing/2014/main" id="{F5A2DBB7-C123-471B-BA49-5654D6A1957A}"/>
            </a:ext>
          </a:extLst>
        </xdr:cNvPr>
        <xdr:cNvSpPr txBox="1"/>
      </xdr:nvSpPr>
      <xdr:spPr>
        <a:xfrm>
          <a:off x="9295247" y="32559044"/>
          <a:ext cx="802022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C531F92-C998-4A41-8207-432A8D3DE6A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16</xdr:col>
      <xdr:colOff>343669</xdr:colOff>
      <xdr:row>181</xdr:row>
      <xdr:rowOff>70950</xdr:rowOff>
    </xdr:from>
    <xdr:to>
      <xdr:col>17</xdr:col>
      <xdr:colOff>528471</xdr:colOff>
      <xdr:row>183</xdr:row>
      <xdr:rowOff>152932</xdr:rowOff>
    </xdr:to>
    <xdr:sp macro="" textlink="ANALYSIS!AC100">
      <xdr:nvSpPr>
        <xdr:cNvPr id="448" name="TextBox 447">
          <a:extLst>
            <a:ext uri="{FF2B5EF4-FFF2-40B4-BE49-F238E27FC236}">
              <a16:creationId xmlns:a16="http://schemas.microsoft.com/office/drawing/2014/main" id="{D3CD21EF-629A-4D23-A3E6-8A021A57A69D}"/>
            </a:ext>
          </a:extLst>
        </xdr:cNvPr>
        <xdr:cNvSpPr txBox="1"/>
      </xdr:nvSpPr>
      <xdr:spPr>
        <a:xfrm>
          <a:off x="10097269" y="32559044"/>
          <a:ext cx="794402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F1B57F1-AD78-497D-A6FE-F277008D055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17</xdr:col>
      <xdr:colOff>528471</xdr:colOff>
      <xdr:row>181</xdr:row>
      <xdr:rowOff>70950</xdr:rowOff>
    </xdr:from>
    <xdr:to>
      <xdr:col>19</xdr:col>
      <xdr:colOff>73690</xdr:colOff>
      <xdr:row>183</xdr:row>
      <xdr:rowOff>152932</xdr:rowOff>
    </xdr:to>
    <xdr:sp macro="" textlink="ANALYSIS!AD100">
      <xdr:nvSpPr>
        <xdr:cNvPr id="449" name="TextBox 448">
          <a:extLst>
            <a:ext uri="{FF2B5EF4-FFF2-40B4-BE49-F238E27FC236}">
              <a16:creationId xmlns:a16="http://schemas.microsoft.com/office/drawing/2014/main" id="{7020389D-35F1-4987-9DAF-F6E41EB51AE8}"/>
            </a:ext>
          </a:extLst>
        </xdr:cNvPr>
        <xdr:cNvSpPr txBox="1"/>
      </xdr:nvSpPr>
      <xdr:spPr>
        <a:xfrm>
          <a:off x="10891671" y="32559044"/>
          <a:ext cx="764419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416DC4E-2227-4EA4-89D3-7E2D22472D6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19</xdr:col>
      <xdr:colOff>73690</xdr:colOff>
      <xdr:row>181</xdr:row>
      <xdr:rowOff>70950</xdr:rowOff>
    </xdr:from>
    <xdr:to>
      <xdr:col>20</xdr:col>
      <xdr:colOff>262302</xdr:colOff>
      <xdr:row>183</xdr:row>
      <xdr:rowOff>152932</xdr:rowOff>
    </xdr:to>
    <xdr:sp macro="" textlink="ANALYSIS!AE100">
      <xdr:nvSpPr>
        <xdr:cNvPr id="450" name="TextBox 449">
          <a:extLst>
            <a:ext uri="{FF2B5EF4-FFF2-40B4-BE49-F238E27FC236}">
              <a16:creationId xmlns:a16="http://schemas.microsoft.com/office/drawing/2014/main" id="{CDD76156-3FA9-4AEE-AA97-03C69680CF69}"/>
            </a:ext>
          </a:extLst>
        </xdr:cNvPr>
        <xdr:cNvSpPr txBox="1"/>
      </xdr:nvSpPr>
      <xdr:spPr>
        <a:xfrm>
          <a:off x="11656090" y="32559044"/>
          <a:ext cx="798212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93B781B-ACFE-462B-AE55-3A5872AEB24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20</xdr:col>
      <xdr:colOff>262302</xdr:colOff>
      <xdr:row>181</xdr:row>
      <xdr:rowOff>70950</xdr:rowOff>
    </xdr:from>
    <xdr:to>
      <xdr:col>21</xdr:col>
      <xdr:colOff>435674</xdr:colOff>
      <xdr:row>183</xdr:row>
      <xdr:rowOff>152932</xdr:rowOff>
    </xdr:to>
    <xdr:sp macro="" textlink="ANALYSIS!AF100">
      <xdr:nvSpPr>
        <xdr:cNvPr id="451" name="TextBox 450">
          <a:extLst>
            <a:ext uri="{FF2B5EF4-FFF2-40B4-BE49-F238E27FC236}">
              <a16:creationId xmlns:a16="http://schemas.microsoft.com/office/drawing/2014/main" id="{B36A1FB7-A3E0-4A8D-87BA-3F335CCF8424}"/>
            </a:ext>
          </a:extLst>
        </xdr:cNvPr>
        <xdr:cNvSpPr txBox="1"/>
      </xdr:nvSpPr>
      <xdr:spPr>
        <a:xfrm>
          <a:off x="12454302" y="32559044"/>
          <a:ext cx="782972" cy="44057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8874770-285A-4287-9429-3C0918DF3C2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11</xdr:col>
      <xdr:colOff>21618</xdr:colOff>
      <xdr:row>168</xdr:row>
      <xdr:rowOff>76200</xdr:rowOff>
    </xdr:from>
    <xdr:to>
      <xdr:col>21</xdr:col>
      <xdr:colOff>587403</xdr:colOff>
      <xdr:row>173</xdr:row>
      <xdr:rowOff>167640</xdr:rowOff>
    </xdr:to>
    <xdr:sp macro="" textlink="">
      <xdr:nvSpPr>
        <xdr:cNvPr id="460" name="TextBox 459">
          <a:extLst>
            <a:ext uri="{FF2B5EF4-FFF2-40B4-BE49-F238E27FC236}">
              <a16:creationId xmlns:a16="http://schemas.microsoft.com/office/drawing/2014/main" id="{177201D7-B7F2-44FF-929D-1BD74B6CB8D3}"/>
            </a:ext>
          </a:extLst>
        </xdr:cNvPr>
        <xdr:cNvSpPr txBox="1"/>
      </xdr:nvSpPr>
      <xdr:spPr>
        <a:xfrm>
          <a:off x="6727218" y="30508575"/>
          <a:ext cx="6661785" cy="99631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Progression</a:t>
          </a:r>
          <a:r>
            <a:rPr lang="en-US" sz="2400" b="0" baseline="0">
              <a:latin typeface="Titillium Bd" panose="00000800000000000000" pitchFamily="50" charset="0"/>
            </a:rPr>
            <a:t> vs Pressing</a:t>
          </a:r>
        </a:p>
        <a:p>
          <a:pPr algn="ctr"/>
          <a:r>
            <a:rPr lang="en-US" sz="2400" b="0" baseline="0">
              <a:latin typeface="Titillium Bd" panose="00000800000000000000" pitchFamily="50" charset="0"/>
            </a:rPr>
            <a:t>VASTANE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459827</xdr:colOff>
      <xdr:row>11</xdr:row>
      <xdr:rowOff>44824</xdr:rowOff>
    </xdr:from>
    <xdr:to>
      <xdr:col>26</xdr:col>
      <xdr:colOff>60510</xdr:colOff>
      <xdr:row>15</xdr:row>
      <xdr:rowOff>30535</xdr:rowOff>
    </xdr:to>
    <xdr:sp macro="" textlink="">
      <xdr:nvSpPr>
        <xdr:cNvPr id="462" name="TextBox 461">
          <a:extLst>
            <a:ext uri="{FF2B5EF4-FFF2-40B4-BE49-F238E27FC236}">
              <a16:creationId xmlns:a16="http://schemas.microsoft.com/office/drawing/2014/main" id="{58988A9B-60F6-4A5A-98CB-8E4099072677}"/>
            </a:ext>
          </a:extLst>
        </xdr:cNvPr>
        <xdr:cNvSpPr txBox="1"/>
      </xdr:nvSpPr>
      <xdr:spPr>
        <a:xfrm>
          <a:off x="15090227" y="2017059"/>
          <a:ext cx="819883" cy="7028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KOKKU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26</xdr:col>
      <xdr:colOff>60510</xdr:colOff>
      <xdr:row>11</xdr:row>
      <xdr:rowOff>44824</xdr:rowOff>
    </xdr:from>
    <xdr:to>
      <xdr:col>27</xdr:col>
      <xdr:colOff>229228</xdr:colOff>
      <xdr:row>15</xdr:row>
      <xdr:rowOff>30535</xdr:rowOff>
    </xdr:to>
    <xdr:sp macro="" textlink="">
      <xdr:nvSpPr>
        <xdr:cNvPr id="463" name="TextBox 462">
          <a:extLst>
            <a:ext uri="{FF2B5EF4-FFF2-40B4-BE49-F238E27FC236}">
              <a16:creationId xmlns:a16="http://schemas.microsoft.com/office/drawing/2014/main" id="{6930F267-5199-481E-B533-4A4D7A2BB182}"/>
            </a:ext>
          </a:extLst>
        </xdr:cNvPr>
        <xdr:cNvSpPr txBox="1"/>
      </xdr:nvSpPr>
      <xdr:spPr>
        <a:xfrm>
          <a:off x="15910110" y="2017059"/>
          <a:ext cx="778318" cy="7028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PEALELÖÖK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27</xdr:col>
      <xdr:colOff>229228</xdr:colOff>
      <xdr:row>11</xdr:row>
      <xdr:rowOff>44824</xdr:rowOff>
    </xdr:from>
    <xdr:to>
      <xdr:col>28</xdr:col>
      <xdr:colOff>441762</xdr:colOff>
      <xdr:row>15</xdr:row>
      <xdr:rowOff>30535</xdr:rowOff>
    </xdr:to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id="{7749DB16-9FE7-4BA8-9179-D08B615FE51C}"/>
            </a:ext>
          </a:extLst>
        </xdr:cNvPr>
        <xdr:cNvSpPr txBox="1"/>
      </xdr:nvSpPr>
      <xdr:spPr>
        <a:xfrm>
          <a:off x="16688428" y="2017059"/>
          <a:ext cx="822134" cy="7028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VÄRAV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28</xdr:col>
      <xdr:colOff>441762</xdr:colOff>
      <xdr:row>11</xdr:row>
      <xdr:rowOff>44824</xdr:rowOff>
    </xdr:from>
    <xdr:to>
      <xdr:col>30</xdr:col>
      <xdr:colOff>534</xdr:colOff>
      <xdr:row>15</xdr:row>
      <xdr:rowOff>30535</xdr:rowOff>
    </xdr:to>
    <xdr:sp macro="" textlink="">
      <xdr:nvSpPr>
        <xdr:cNvPr id="465" name="TextBox 464">
          <a:extLst>
            <a:ext uri="{FF2B5EF4-FFF2-40B4-BE49-F238E27FC236}">
              <a16:creationId xmlns:a16="http://schemas.microsoft.com/office/drawing/2014/main" id="{C47C90B0-23AC-4B1C-B09B-5FA46DB73C4E}"/>
            </a:ext>
          </a:extLst>
        </xdr:cNvPr>
        <xdr:cNvSpPr txBox="1"/>
      </xdr:nvSpPr>
      <xdr:spPr>
        <a:xfrm>
          <a:off x="17510562" y="2017059"/>
          <a:ext cx="777972" cy="7028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SHOT / MOMENT%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30</xdr:col>
      <xdr:colOff>534</xdr:colOff>
      <xdr:row>11</xdr:row>
      <xdr:rowOff>44824</xdr:rowOff>
    </xdr:from>
    <xdr:to>
      <xdr:col>31</xdr:col>
      <xdr:colOff>174968</xdr:colOff>
      <xdr:row>15</xdr:row>
      <xdr:rowOff>30535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1CE664F6-F763-4ED9-AC04-2042AF4EA6FB}"/>
            </a:ext>
          </a:extLst>
        </xdr:cNvPr>
        <xdr:cNvSpPr txBox="1"/>
      </xdr:nvSpPr>
      <xdr:spPr>
        <a:xfrm>
          <a:off x="18288534" y="2017059"/>
          <a:ext cx="784034" cy="7028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GOAL / MOMENT%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268249</xdr:colOff>
      <xdr:row>15</xdr:row>
      <xdr:rowOff>30534</xdr:rowOff>
    </xdr:from>
    <xdr:to>
      <xdr:col>24</xdr:col>
      <xdr:colOff>459827</xdr:colOff>
      <xdr:row>17</xdr:row>
      <xdr:rowOff>66835</xdr:rowOff>
    </xdr:to>
    <xdr:sp macro="" textlink="">
      <xdr:nvSpPr>
        <xdr:cNvPr id="467" name="TextBox 466">
          <a:extLst>
            <a:ext uri="{FF2B5EF4-FFF2-40B4-BE49-F238E27FC236}">
              <a16:creationId xmlns:a16="http://schemas.microsoft.com/office/drawing/2014/main" id="{556ABFF8-8130-4034-8C73-754FA557BFAE}"/>
            </a:ext>
          </a:extLst>
        </xdr:cNvPr>
        <xdr:cNvSpPr txBox="1"/>
      </xdr:nvSpPr>
      <xdr:spPr>
        <a:xfrm>
          <a:off x="14289049" y="2719946"/>
          <a:ext cx="801178" cy="39488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EST DA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459827</xdr:colOff>
      <xdr:row>15</xdr:row>
      <xdr:rowOff>30534</xdr:rowOff>
    </xdr:from>
    <xdr:to>
      <xdr:col>26</xdr:col>
      <xdr:colOff>60510</xdr:colOff>
      <xdr:row>17</xdr:row>
      <xdr:rowOff>66835</xdr:rowOff>
    </xdr:to>
    <xdr:sp macro="" textlink="ANALYSIS!G130">
      <xdr:nvSpPr>
        <xdr:cNvPr id="468" name="TextBox 467">
          <a:extLst>
            <a:ext uri="{FF2B5EF4-FFF2-40B4-BE49-F238E27FC236}">
              <a16:creationId xmlns:a16="http://schemas.microsoft.com/office/drawing/2014/main" id="{4C1EB559-703A-4876-95DA-0A854D263EFB}"/>
            </a:ext>
          </a:extLst>
        </xdr:cNvPr>
        <xdr:cNvSpPr txBox="1"/>
      </xdr:nvSpPr>
      <xdr:spPr>
        <a:xfrm>
          <a:off x="15090227" y="2719946"/>
          <a:ext cx="819883" cy="39488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7E958F2-CCF8-4F42-945E-0011C628F85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22</a:t>
          </a:fld>
          <a:endParaRPr lang="et-EE" sz="1100"/>
        </a:p>
      </xdr:txBody>
    </xdr:sp>
    <xdr:clientData/>
  </xdr:twoCellAnchor>
  <xdr:twoCellAnchor>
    <xdr:from>
      <xdr:col>26</xdr:col>
      <xdr:colOff>60510</xdr:colOff>
      <xdr:row>15</xdr:row>
      <xdr:rowOff>30534</xdr:rowOff>
    </xdr:from>
    <xdr:to>
      <xdr:col>27</xdr:col>
      <xdr:colOff>229228</xdr:colOff>
      <xdr:row>17</xdr:row>
      <xdr:rowOff>66835</xdr:rowOff>
    </xdr:to>
    <xdr:sp macro="" textlink="ANALYSIS!H130">
      <xdr:nvSpPr>
        <xdr:cNvPr id="469" name="TextBox 468">
          <a:extLst>
            <a:ext uri="{FF2B5EF4-FFF2-40B4-BE49-F238E27FC236}">
              <a16:creationId xmlns:a16="http://schemas.microsoft.com/office/drawing/2014/main" id="{23A237E3-467C-483D-8D76-69226FAC3456}"/>
            </a:ext>
          </a:extLst>
        </xdr:cNvPr>
        <xdr:cNvSpPr txBox="1"/>
      </xdr:nvSpPr>
      <xdr:spPr>
        <a:xfrm>
          <a:off x="15910110" y="2719946"/>
          <a:ext cx="778318" cy="39488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E991E26-35F9-404E-8429-EFF76D67D2F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27</xdr:col>
      <xdr:colOff>229228</xdr:colOff>
      <xdr:row>15</xdr:row>
      <xdr:rowOff>30534</xdr:rowOff>
    </xdr:from>
    <xdr:to>
      <xdr:col>28</xdr:col>
      <xdr:colOff>441762</xdr:colOff>
      <xdr:row>17</xdr:row>
      <xdr:rowOff>66835</xdr:rowOff>
    </xdr:to>
    <xdr:sp macro="" textlink="ANALYSIS!I130">
      <xdr:nvSpPr>
        <xdr:cNvPr id="470" name="TextBox 469">
          <a:extLst>
            <a:ext uri="{FF2B5EF4-FFF2-40B4-BE49-F238E27FC236}">
              <a16:creationId xmlns:a16="http://schemas.microsoft.com/office/drawing/2014/main" id="{AD7B0476-039F-435F-BDAB-A50335A8C34B}"/>
            </a:ext>
          </a:extLst>
        </xdr:cNvPr>
        <xdr:cNvSpPr txBox="1"/>
      </xdr:nvSpPr>
      <xdr:spPr>
        <a:xfrm>
          <a:off x="16688428" y="2719946"/>
          <a:ext cx="822134" cy="39488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47A68BB-2C9B-4B39-8A3C-E869A48AB5A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28</xdr:col>
      <xdr:colOff>441762</xdr:colOff>
      <xdr:row>15</xdr:row>
      <xdr:rowOff>30534</xdr:rowOff>
    </xdr:from>
    <xdr:to>
      <xdr:col>30</xdr:col>
      <xdr:colOff>534</xdr:colOff>
      <xdr:row>17</xdr:row>
      <xdr:rowOff>66835</xdr:rowOff>
    </xdr:to>
    <xdr:sp macro="" textlink="ANALYSIS!J130">
      <xdr:nvSpPr>
        <xdr:cNvPr id="471" name="TextBox 470">
          <a:extLst>
            <a:ext uri="{FF2B5EF4-FFF2-40B4-BE49-F238E27FC236}">
              <a16:creationId xmlns:a16="http://schemas.microsoft.com/office/drawing/2014/main" id="{B94D4345-0A4B-4FCB-AC42-AFF2D1CFAD2F}"/>
            </a:ext>
          </a:extLst>
        </xdr:cNvPr>
        <xdr:cNvSpPr txBox="1"/>
      </xdr:nvSpPr>
      <xdr:spPr>
        <a:xfrm>
          <a:off x="17510562" y="2719946"/>
          <a:ext cx="777972" cy="39488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0AD84AD-5B73-49E0-BECE-02915D2379B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9%</a:t>
          </a:fld>
          <a:endParaRPr lang="et-EE" sz="1100"/>
        </a:p>
      </xdr:txBody>
    </xdr:sp>
    <xdr:clientData/>
  </xdr:twoCellAnchor>
  <xdr:twoCellAnchor>
    <xdr:from>
      <xdr:col>30</xdr:col>
      <xdr:colOff>534</xdr:colOff>
      <xdr:row>15</xdr:row>
      <xdr:rowOff>30534</xdr:rowOff>
    </xdr:from>
    <xdr:to>
      <xdr:col>31</xdr:col>
      <xdr:colOff>174968</xdr:colOff>
      <xdr:row>17</xdr:row>
      <xdr:rowOff>66835</xdr:rowOff>
    </xdr:to>
    <xdr:sp macro="" textlink="ANALYSIS!K130">
      <xdr:nvSpPr>
        <xdr:cNvPr id="472" name="TextBox 471">
          <a:extLst>
            <a:ext uri="{FF2B5EF4-FFF2-40B4-BE49-F238E27FC236}">
              <a16:creationId xmlns:a16="http://schemas.microsoft.com/office/drawing/2014/main" id="{22193CD5-354C-4447-B2C6-3966D3D68B27}"/>
            </a:ext>
          </a:extLst>
        </xdr:cNvPr>
        <xdr:cNvSpPr txBox="1"/>
      </xdr:nvSpPr>
      <xdr:spPr>
        <a:xfrm>
          <a:off x="18288534" y="2719946"/>
          <a:ext cx="784034" cy="394889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8968C33-6B2E-4950-B86C-68D48DDB13D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23</xdr:col>
      <xdr:colOff>268249</xdr:colOff>
      <xdr:row>17</xdr:row>
      <xdr:rowOff>66835</xdr:rowOff>
    </xdr:from>
    <xdr:to>
      <xdr:col>24</xdr:col>
      <xdr:colOff>459827</xdr:colOff>
      <xdr:row>19</xdr:row>
      <xdr:rowOff>135521</xdr:rowOff>
    </xdr:to>
    <xdr:sp macro="" textlink="">
      <xdr:nvSpPr>
        <xdr:cNvPr id="473" name="TextBox 472">
          <a:extLst>
            <a:ext uri="{FF2B5EF4-FFF2-40B4-BE49-F238E27FC236}">
              <a16:creationId xmlns:a16="http://schemas.microsoft.com/office/drawing/2014/main" id="{06991A43-4330-4CCE-99EA-A09BA8316D16}"/>
            </a:ext>
          </a:extLst>
        </xdr:cNvPr>
        <xdr:cNvSpPr txBox="1"/>
      </xdr:nvSpPr>
      <xdr:spPr>
        <a:xfrm>
          <a:off x="14289049" y="3114835"/>
          <a:ext cx="801178" cy="42727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EST AD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459827</xdr:colOff>
      <xdr:row>17</xdr:row>
      <xdr:rowOff>66835</xdr:rowOff>
    </xdr:from>
    <xdr:to>
      <xdr:col>26</xdr:col>
      <xdr:colOff>60510</xdr:colOff>
      <xdr:row>19</xdr:row>
      <xdr:rowOff>135521</xdr:rowOff>
    </xdr:to>
    <xdr:sp macro="" textlink="ANALYSIS!G131">
      <xdr:nvSpPr>
        <xdr:cNvPr id="474" name="TextBox 473">
          <a:extLst>
            <a:ext uri="{FF2B5EF4-FFF2-40B4-BE49-F238E27FC236}">
              <a16:creationId xmlns:a16="http://schemas.microsoft.com/office/drawing/2014/main" id="{D0B9664B-A786-4A0E-9583-0B62CE278F17}"/>
            </a:ext>
          </a:extLst>
        </xdr:cNvPr>
        <xdr:cNvSpPr txBox="1"/>
      </xdr:nvSpPr>
      <xdr:spPr>
        <a:xfrm>
          <a:off x="15090227" y="3114835"/>
          <a:ext cx="819883" cy="42727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9B2390E-92FC-489F-8561-0271AF4A439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38</a:t>
          </a:fld>
          <a:endParaRPr lang="et-EE" sz="1100"/>
        </a:p>
      </xdr:txBody>
    </xdr:sp>
    <xdr:clientData/>
  </xdr:twoCellAnchor>
  <xdr:twoCellAnchor>
    <xdr:from>
      <xdr:col>26</xdr:col>
      <xdr:colOff>60510</xdr:colOff>
      <xdr:row>17</xdr:row>
      <xdr:rowOff>66835</xdr:rowOff>
    </xdr:from>
    <xdr:to>
      <xdr:col>27</xdr:col>
      <xdr:colOff>229228</xdr:colOff>
      <xdr:row>19</xdr:row>
      <xdr:rowOff>135521</xdr:rowOff>
    </xdr:to>
    <xdr:sp macro="" textlink="ANALYSIS!H131">
      <xdr:nvSpPr>
        <xdr:cNvPr id="475" name="TextBox 474">
          <a:extLst>
            <a:ext uri="{FF2B5EF4-FFF2-40B4-BE49-F238E27FC236}">
              <a16:creationId xmlns:a16="http://schemas.microsoft.com/office/drawing/2014/main" id="{934BA39A-CE1A-47D7-BD8C-66AF2C86077D}"/>
            </a:ext>
          </a:extLst>
        </xdr:cNvPr>
        <xdr:cNvSpPr txBox="1"/>
      </xdr:nvSpPr>
      <xdr:spPr>
        <a:xfrm>
          <a:off x="15910110" y="3114835"/>
          <a:ext cx="778318" cy="42727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28E8811-4EA9-48AC-A1B8-C087A3506B5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7</a:t>
          </a:fld>
          <a:endParaRPr lang="et-EE" sz="1100"/>
        </a:p>
      </xdr:txBody>
    </xdr:sp>
    <xdr:clientData/>
  </xdr:twoCellAnchor>
  <xdr:twoCellAnchor>
    <xdr:from>
      <xdr:col>27</xdr:col>
      <xdr:colOff>229228</xdr:colOff>
      <xdr:row>17</xdr:row>
      <xdr:rowOff>66835</xdr:rowOff>
    </xdr:from>
    <xdr:to>
      <xdr:col>28</xdr:col>
      <xdr:colOff>441762</xdr:colOff>
      <xdr:row>19</xdr:row>
      <xdr:rowOff>135521</xdr:rowOff>
    </xdr:to>
    <xdr:sp macro="" textlink="ANALYSIS!I131">
      <xdr:nvSpPr>
        <xdr:cNvPr id="476" name="TextBox 475">
          <a:extLst>
            <a:ext uri="{FF2B5EF4-FFF2-40B4-BE49-F238E27FC236}">
              <a16:creationId xmlns:a16="http://schemas.microsoft.com/office/drawing/2014/main" id="{3F088527-7373-426C-BF91-AF55CC43AF62}"/>
            </a:ext>
          </a:extLst>
        </xdr:cNvPr>
        <xdr:cNvSpPr txBox="1"/>
      </xdr:nvSpPr>
      <xdr:spPr>
        <a:xfrm>
          <a:off x="16688428" y="3114835"/>
          <a:ext cx="822134" cy="42727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EF99831-58BB-4FAF-847E-FA3CF120B66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28</xdr:col>
      <xdr:colOff>441762</xdr:colOff>
      <xdr:row>17</xdr:row>
      <xdr:rowOff>66835</xdr:rowOff>
    </xdr:from>
    <xdr:to>
      <xdr:col>30</xdr:col>
      <xdr:colOff>534</xdr:colOff>
      <xdr:row>19</xdr:row>
      <xdr:rowOff>135521</xdr:rowOff>
    </xdr:to>
    <xdr:sp macro="" textlink="ANALYSIS!J131">
      <xdr:nvSpPr>
        <xdr:cNvPr id="477" name="TextBox 476">
          <a:extLst>
            <a:ext uri="{FF2B5EF4-FFF2-40B4-BE49-F238E27FC236}">
              <a16:creationId xmlns:a16="http://schemas.microsoft.com/office/drawing/2014/main" id="{1F563CFF-400E-4EB3-AB35-37913A5DB00C}"/>
            </a:ext>
          </a:extLst>
        </xdr:cNvPr>
        <xdr:cNvSpPr txBox="1"/>
      </xdr:nvSpPr>
      <xdr:spPr>
        <a:xfrm>
          <a:off x="17510562" y="3114835"/>
          <a:ext cx="777972" cy="42727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611F971-BF97-4AB7-A747-0252B88739E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18%</a:t>
          </a:fld>
          <a:endParaRPr lang="et-EE" sz="1100"/>
        </a:p>
      </xdr:txBody>
    </xdr:sp>
    <xdr:clientData/>
  </xdr:twoCellAnchor>
  <xdr:twoCellAnchor>
    <xdr:from>
      <xdr:col>30</xdr:col>
      <xdr:colOff>534</xdr:colOff>
      <xdr:row>17</xdr:row>
      <xdr:rowOff>66835</xdr:rowOff>
    </xdr:from>
    <xdr:to>
      <xdr:col>31</xdr:col>
      <xdr:colOff>174968</xdr:colOff>
      <xdr:row>19</xdr:row>
      <xdr:rowOff>135521</xdr:rowOff>
    </xdr:to>
    <xdr:sp macro="" textlink="ANALYSIS!K131">
      <xdr:nvSpPr>
        <xdr:cNvPr id="478" name="TextBox 477">
          <a:extLst>
            <a:ext uri="{FF2B5EF4-FFF2-40B4-BE49-F238E27FC236}">
              <a16:creationId xmlns:a16="http://schemas.microsoft.com/office/drawing/2014/main" id="{3B78F8C5-B1DB-4D4F-9A26-C07424C3849B}"/>
            </a:ext>
          </a:extLst>
        </xdr:cNvPr>
        <xdr:cNvSpPr txBox="1"/>
      </xdr:nvSpPr>
      <xdr:spPr>
        <a:xfrm>
          <a:off x="18288534" y="3114835"/>
          <a:ext cx="784034" cy="42727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0D75CAD-E331-44DC-929A-963A7823263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t-EE" sz="1100"/>
        </a:p>
      </xdr:txBody>
    </xdr:sp>
    <xdr:clientData/>
  </xdr:twoCellAnchor>
  <xdr:twoCellAnchor>
    <xdr:from>
      <xdr:col>22</xdr:col>
      <xdr:colOff>18457</xdr:colOff>
      <xdr:row>7</xdr:row>
      <xdr:rowOff>80504</xdr:rowOff>
    </xdr:from>
    <xdr:to>
      <xdr:col>32</xdr:col>
      <xdr:colOff>589957</xdr:colOff>
      <xdr:row>9</xdr:row>
      <xdr:rowOff>112022</xdr:rowOff>
    </xdr:to>
    <xdr:sp macro="" textlink="">
      <xdr:nvSpPr>
        <xdr:cNvPr id="479" name="TextBox 478">
          <a:extLst>
            <a:ext uri="{FF2B5EF4-FFF2-40B4-BE49-F238E27FC236}">
              <a16:creationId xmlns:a16="http://schemas.microsoft.com/office/drawing/2014/main" id="{2213B073-3F91-4939-8CC4-4B8F8C066052}"/>
            </a:ext>
          </a:extLst>
        </xdr:cNvPr>
        <xdr:cNvSpPr txBox="1"/>
      </xdr:nvSpPr>
      <xdr:spPr>
        <a:xfrm>
          <a:off x="13353457" y="1292777"/>
          <a:ext cx="6632864" cy="377881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Ülevaade üleminekutest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32</xdr:col>
      <xdr:colOff>571846</xdr:colOff>
      <xdr:row>6</xdr:row>
      <xdr:rowOff>1</xdr:rowOff>
    </xdr:to>
    <xdr:sp macro="" textlink="">
      <xdr:nvSpPr>
        <xdr:cNvPr id="482" name="TextBox 481">
          <a:extLst>
            <a:ext uri="{FF2B5EF4-FFF2-40B4-BE49-F238E27FC236}">
              <a16:creationId xmlns:a16="http://schemas.microsoft.com/office/drawing/2014/main" id="{DB6599EB-66C5-401C-BFE3-2849E553E4CB}"/>
            </a:ext>
          </a:extLst>
        </xdr:cNvPr>
        <xdr:cNvSpPr txBox="1"/>
      </xdr:nvSpPr>
      <xdr:spPr>
        <a:xfrm>
          <a:off x="13335000" y="519545"/>
          <a:ext cx="6633210" cy="51954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ÜLEMINEKUD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59</xdr:row>
      <xdr:rowOff>180680</xdr:rowOff>
    </xdr:from>
    <xdr:to>
      <xdr:col>24</xdr:col>
      <xdr:colOff>571925</xdr:colOff>
      <xdr:row>62</xdr:row>
      <xdr:rowOff>74769</xdr:rowOff>
    </xdr:to>
    <xdr:sp macro="" textlink="">
      <xdr:nvSpPr>
        <xdr:cNvPr id="484" name="TextBox 483">
          <a:extLst>
            <a:ext uri="{FF2B5EF4-FFF2-40B4-BE49-F238E27FC236}">
              <a16:creationId xmlns:a16="http://schemas.microsoft.com/office/drawing/2014/main" id="{9AF3F28D-61D0-4D26-86AB-D3B3417AFB5D}"/>
            </a:ext>
          </a:extLst>
        </xdr:cNvPr>
        <xdr:cNvSpPr txBox="1"/>
      </xdr:nvSpPr>
      <xdr:spPr>
        <a:xfrm>
          <a:off x="14498302" y="10774137"/>
          <a:ext cx="783536" cy="44074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KOKKU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571925</xdr:colOff>
      <xdr:row>59</xdr:row>
      <xdr:rowOff>180680</xdr:rowOff>
    </xdr:from>
    <xdr:to>
      <xdr:col>26</xdr:col>
      <xdr:colOff>155463</xdr:colOff>
      <xdr:row>62</xdr:row>
      <xdr:rowOff>74769</xdr:rowOff>
    </xdr:to>
    <xdr:sp macro="" textlink="">
      <xdr:nvSpPr>
        <xdr:cNvPr id="485" name="TextBox 484">
          <a:extLst>
            <a:ext uri="{FF2B5EF4-FFF2-40B4-BE49-F238E27FC236}">
              <a16:creationId xmlns:a16="http://schemas.microsoft.com/office/drawing/2014/main" id="{973C3CE8-25AE-4BB6-965E-18CA5AF03AB2}"/>
            </a:ext>
          </a:extLst>
        </xdr:cNvPr>
        <xdr:cNvSpPr txBox="1"/>
      </xdr:nvSpPr>
      <xdr:spPr>
        <a:xfrm>
          <a:off x="15281838" y="10774137"/>
          <a:ext cx="809364" cy="44074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KEEP POS.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26</xdr:col>
      <xdr:colOff>155463</xdr:colOff>
      <xdr:row>59</xdr:row>
      <xdr:rowOff>180680</xdr:rowOff>
    </xdr:from>
    <xdr:to>
      <xdr:col>27</xdr:col>
      <xdr:colOff>341326</xdr:colOff>
      <xdr:row>62</xdr:row>
      <xdr:rowOff>74769</xdr:rowOff>
    </xdr:to>
    <xdr:sp macro="" textlink="">
      <xdr:nvSpPr>
        <xdr:cNvPr id="486" name="TextBox 485">
          <a:extLst>
            <a:ext uri="{FF2B5EF4-FFF2-40B4-BE49-F238E27FC236}">
              <a16:creationId xmlns:a16="http://schemas.microsoft.com/office/drawing/2014/main" id="{3E5A6CC0-886B-4F54-A585-45519CED29C6}"/>
            </a:ext>
          </a:extLst>
        </xdr:cNvPr>
        <xdr:cNvSpPr txBox="1"/>
      </xdr:nvSpPr>
      <xdr:spPr>
        <a:xfrm>
          <a:off x="16091202" y="10774137"/>
          <a:ext cx="798776" cy="44074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LOSE POS.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27</xdr:col>
      <xdr:colOff>341326</xdr:colOff>
      <xdr:row>59</xdr:row>
      <xdr:rowOff>180680</xdr:rowOff>
    </xdr:from>
    <xdr:to>
      <xdr:col>28</xdr:col>
      <xdr:colOff>532905</xdr:colOff>
      <xdr:row>62</xdr:row>
      <xdr:rowOff>74769</xdr:rowOff>
    </xdr:to>
    <xdr:sp macro="" textlink="">
      <xdr:nvSpPr>
        <xdr:cNvPr id="487" name="TextBox 486">
          <a:extLst>
            <a:ext uri="{FF2B5EF4-FFF2-40B4-BE49-F238E27FC236}">
              <a16:creationId xmlns:a16="http://schemas.microsoft.com/office/drawing/2014/main" id="{58C4082A-E707-44EB-8533-8AD49D8F32C6}"/>
            </a:ext>
          </a:extLst>
        </xdr:cNvPr>
        <xdr:cNvSpPr txBox="1"/>
      </xdr:nvSpPr>
      <xdr:spPr>
        <a:xfrm>
          <a:off x="16889978" y="10774137"/>
          <a:ext cx="804492" cy="44074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WIN NEW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28</xdr:col>
      <xdr:colOff>532905</xdr:colOff>
      <xdr:row>59</xdr:row>
      <xdr:rowOff>180680</xdr:rowOff>
    </xdr:from>
    <xdr:to>
      <xdr:col>30</xdr:col>
      <xdr:colOff>93582</xdr:colOff>
      <xdr:row>62</xdr:row>
      <xdr:rowOff>74769</xdr:rowOff>
    </xdr:to>
    <xdr:sp macro="" textlink="">
      <xdr:nvSpPr>
        <xdr:cNvPr id="488" name="TextBox 487">
          <a:extLst>
            <a:ext uri="{FF2B5EF4-FFF2-40B4-BE49-F238E27FC236}">
              <a16:creationId xmlns:a16="http://schemas.microsoft.com/office/drawing/2014/main" id="{28E2F658-D06F-4B0E-ABC2-9836CE85335F}"/>
            </a:ext>
          </a:extLst>
        </xdr:cNvPr>
        <xdr:cNvSpPr txBox="1"/>
      </xdr:nvSpPr>
      <xdr:spPr>
        <a:xfrm>
          <a:off x="17694470" y="10774137"/>
          <a:ext cx="786503" cy="44074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LOSE NEW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30</xdr:col>
      <xdr:colOff>93582</xdr:colOff>
      <xdr:row>59</xdr:row>
      <xdr:rowOff>180680</xdr:rowOff>
    </xdr:from>
    <xdr:to>
      <xdr:col>31</xdr:col>
      <xdr:colOff>285161</xdr:colOff>
      <xdr:row>62</xdr:row>
      <xdr:rowOff>74769</xdr:rowOff>
    </xdr:to>
    <xdr:sp macro="" textlink="">
      <xdr:nvSpPr>
        <xdr:cNvPr id="489" name="TextBox 488">
          <a:extLst>
            <a:ext uri="{FF2B5EF4-FFF2-40B4-BE49-F238E27FC236}">
              <a16:creationId xmlns:a16="http://schemas.microsoft.com/office/drawing/2014/main" id="{77CDF89F-F8D5-414B-B65E-4A6A1BC493A0}"/>
            </a:ext>
          </a:extLst>
        </xdr:cNvPr>
        <xdr:cNvSpPr txBox="1"/>
      </xdr:nvSpPr>
      <xdr:spPr>
        <a:xfrm>
          <a:off x="18480973" y="10774137"/>
          <a:ext cx="804492" cy="44074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GOAL ATTEMPT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31</xdr:col>
      <xdr:colOff>285161</xdr:colOff>
      <xdr:row>59</xdr:row>
      <xdr:rowOff>180680</xdr:rowOff>
    </xdr:from>
    <xdr:to>
      <xdr:col>32</xdr:col>
      <xdr:colOff>474834</xdr:colOff>
      <xdr:row>62</xdr:row>
      <xdr:rowOff>74769</xdr:rowOff>
    </xdr:to>
    <xdr:sp macro="" textlink="">
      <xdr:nvSpPr>
        <xdr:cNvPr id="490" name="TextBox 489">
          <a:extLst>
            <a:ext uri="{FF2B5EF4-FFF2-40B4-BE49-F238E27FC236}">
              <a16:creationId xmlns:a16="http://schemas.microsoft.com/office/drawing/2014/main" id="{8EF29356-6C20-4A2B-8D77-ABE6472B3A96}"/>
            </a:ext>
          </a:extLst>
        </xdr:cNvPr>
        <xdr:cNvSpPr txBox="1"/>
      </xdr:nvSpPr>
      <xdr:spPr>
        <a:xfrm>
          <a:off x="19285465" y="10774137"/>
          <a:ext cx="802586" cy="44074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GOAL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22</xdr:col>
      <xdr:colOff>89647</xdr:colOff>
      <xdr:row>62</xdr:row>
      <xdr:rowOff>74769</xdr:rowOff>
    </xdr:from>
    <xdr:to>
      <xdr:col>23</xdr:col>
      <xdr:colOff>401302</xdr:colOff>
      <xdr:row>64</xdr:row>
      <xdr:rowOff>86306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B67BB7DE-49CF-43A2-A6CC-756E9E4C63D4}"/>
            </a:ext>
          </a:extLst>
        </xdr:cNvPr>
        <xdr:cNvSpPr txBox="1"/>
      </xdr:nvSpPr>
      <xdr:spPr>
        <a:xfrm>
          <a:off x="13500847" y="11047569"/>
          <a:ext cx="921255" cy="37012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EST GOALKICK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62</xdr:row>
      <xdr:rowOff>74769</xdr:rowOff>
    </xdr:from>
    <xdr:to>
      <xdr:col>24</xdr:col>
      <xdr:colOff>571925</xdr:colOff>
      <xdr:row>64</xdr:row>
      <xdr:rowOff>86306</xdr:rowOff>
    </xdr:to>
    <xdr:sp macro="" textlink="ANALYSIS!G144">
      <xdr:nvSpPr>
        <xdr:cNvPr id="492" name="TextBox 491">
          <a:extLst>
            <a:ext uri="{FF2B5EF4-FFF2-40B4-BE49-F238E27FC236}">
              <a16:creationId xmlns:a16="http://schemas.microsoft.com/office/drawing/2014/main" id="{7DC83015-0E59-4BB3-85C6-C71FA0842B0A}"/>
            </a:ext>
          </a:extLst>
        </xdr:cNvPr>
        <xdr:cNvSpPr txBox="1"/>
      </xdr:nvSpPr>
      <xdr:spPr>
        <a:xfrm>
          <a:off x="14498302" y="11214878"/>
          <a:ext cx="783536" cy="37597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C146CF7-62FE-4216-B961-B2885CA4DBD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62</xdr:row>
      <xdr:rowOff>74769</xdr:rowOff>
    </xdr:from>
    <xdr:to>
      <xdr:col>26</xdr:col>
      <xdr:colOff>155463</xdr:colOff>
      <xdr:row>64</xdr:row>
      <xdr:rowOff>86306</xdr:rowOff>
    </xdr:to>
    <xdr:sp macro="" textlink="ANALYSIS!H144">
      <xdr:nvSpPr>
        <xdr:cNvPr id="493" name="TextBox 492">
          <a:extLst>
            <a:ext uri="{FF2B5EF4-FFF2-40B4-BE49-F238E27FC236}">
              <a16:creationId xmlns:a16="http://schemas.microsoft.com/office/drawing/2014/main" id="{FA74BFDC-3AD3-45E3-857A-DBEDA6C70B09}"/>
            </a:ext>
          </a:extLst>
        </xdr:cNvPr>
        <xdr:cNvSpPr txBox="1"/>
      </xdr:nvSpPr>
      <xdr:spPr>
        <a:xfrm>
          <a:off x="15281838" y="11214878"/>
          <a:ext cx="809364" cy="37597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748A80E-6A61-4233-A687-446D854087E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62</xdr:row>
      <xdr:rowOff>74769</xdr:rowOff>
    </xdr:from>
    <xdr:to>
      <xdr:col>27</xdr:col>
      <xdr:colOff>341326</xdr:colOff>
      <xdr:row>64</xdr:row>
      <xdr:rowOff>86306</xdr:rowOff>
    </xdr:to>
    <xdr:sp macro="" textlink="ANALYSIS!I144">
      <xdr:nvSpPr>
        <xdr:cNvPr id="494" name="TextBox 493">
          <a:extLst>
            <a:ext uri="{FF2B5EF4-FFF2-40B4-BE49-F238E27FC236}">
              <a16:creationId xmlns:a16="http://schemas.microsoft.com/office/drawing/2014/main" id="{1C91BAF0-F70A-41B4-A071-306E4A476242}"/>
            </a:ext>
          </a:extLst>
        </xdr:cNvPr>
        <xdr:cNvSpPr txBox="1"/>
      </xdr:nvSpPr>
      <xdr:spPr>
        <a:xfrm>
          <a:off x="16091202" y="11214878"/>
          <a:ext cx="798776" cy="37597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900E0AA-1D72-4A06-8F71-EBA388E5BCC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62</xdr:row>
      <xdr:rowOff>74769</xdr:rowOff>
    </xdr:from>
    <xdr:to>
      <xdr:col>28</xdr:col>
      <xdr:colOff>532905</xdr:colOff>
      <xdr:row>64</xdr:row>
      <xdr:rowOff>86306</xdr:rowOff>
    </xdr:to>
    <xdr:sp macro="" textlink="ANALYSIS!J144">
      <xdr:nvSpPr>
        <xdr:cNvPr id="495" name="TextBox 494">
          <a:extLst>
            <a:ext uri="{FF2B5EF4-FFF2-40B4-BE49-F238E27FC236}">
              <a16:creationId xmlns:a16="http://schemas.microsoft.com/office/drawing/2014/main" id="{B986EEFB-4283-4593-A90A-D238F8648D5E}"/>
            </a:ext>
          </a:extLst>
        </xdr:cNvPr>
        <xdr:cNvSpPr txBox="1"/>
      </xdr:nvSpPr>
      <xdr:spPr>
        <a:xfrm>
          <a:off x="16889978" y="11214878"/>
          <a:ext cx="804492" cy="37597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027FC81-F55F-4747-A0F5-301F7F93EB3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62</xdr:row>
      <xdr:rowOff>74769</xdr:rowOff>
    </xdr:from>
    <xdr:to>
      <xdr:col>30</xdr:col>
      <xdr:colOff>93582</xdr:colOff>
      <xdr:row>64</xdr:row>
      <xdr:rowOff>86306</xdr:rowOff>
    </xdr:to>
    <xdr:sp macro="" textlink="ANALYSIS!K144">
      <xdr:nvSpPr>
        <xdr:cNvPr id="496" name="TextBox 495">
          <a:extLst>
            <a:ext uri="{FF2B5EF4-FFF2-40B4-BE49-F238E27FC236}">
              <a16:creationId xmlns:a16="http://schemas.microsoft.com/office/drawing/2014/main" id="{28BEF6B3-2E29-41C7-BBF1-4E6FFEC5B4FC}"/>
            </a:ext>
          </a:extLst>
        </xdr:cNvPr>
        <xdr:cNvSpPr txBox="1"/>
      </xdr:nvSpPr>
      <xdr:spPr>
        <a:xfrm>
          <a:off x="17694470" y="11214878"/>
          <a:ext cx="786503" cy="37597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85D1500-F807-4387-AFA0-D478C33C3A7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62</xdr:row>
      <xdr:rowOff>74769</xdr:rowOff>
    </xdr:from>
    <xdr:to>
      <xdr:col>31</xdr:col>
      <xdr:colOff>285161</xdr:colOff>
      <xdr:row>64</xdr:row>
      <xdr:rowOff>86306</xdr:rowOff>
    </xdr:to>
    <xdr:sp macro="" textlink="ANALYSIS!L144">
      <xdr:nvSpPr>
        <xdr:cNvPr id="497" name="TextBox 496">
          <a:extLst>
            <a:ext uri="{FF2B5EF4-FFF2-40B4-BE49-F238E27FC236}">
              <a16:creationId xmlns:a16="http://schemas.microsoft.com/office/drawing/2014/main" id="{510DD60E-3246-44C9-8825-87F01AFA0357}"/>
            </a:ext>
          </a:extLst>
        </xdr:cNvPr>
        <xdr:cNvSpPr txBox="1"/>
      </xdr:nvSpPr>
      <xdr:spPr>
        <a:xfrm>
          <a:off x="18480973" y="11214878"/>
          <a:ext cx="804492" cy="37597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F943244-0AE2-4B97-AE33-BDC358203CF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62</xdr:row>
      <xdr:rowOff>74769</xdr:rowOff>
    </xdr:from>
    <xdr:to>
      <xdr:col>32</xdr:col>
      <xdr:colOff>474834</xdr:colOff>
      <xdr:row>64</xdr:row>
      <xdr:rowOff>86306</xdr:rowOff>
    </xdr:to>
    <xdr:sp macro="" textlink="ANALYSIS!M144">
      <xdr:nvSpPr>
        <xdr:cNvPr id="498" name="TextBox 497">
          <a:extLst>
            <a:ext uri="{FF2B5EF4-FFF2-40B4-BE49-F238E27FC236}">
              <a16:creationId xmlns:a16="http://schemas.microsoft.com/office/drawing/2014/main" id="{CF25836D-5EB2-455E-AA59-B7C2CBF21043}"/>
            </a:ext>
          </a:extLst>
        </xdr:cNvPr>
        <xdr:cNvSpPr txBox="1"/>
      </xdr:nvSpPr>
      <xdr:spPr>
        <a:xfrm>
          <a:off x="19285465" y="11214878"/>
          <a:ext cx="802586" cy="37597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F6F09AF-9D78-413C-9C76-729D9F61CE8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89647</xdr:colOff>
      <xdr:row>64</xdr:row>
      <xdr:rowOff>86306</xdr:rowOff>
    </xdr:from>
    <xdr:to>
      <xdr:col>23</xdr:col>
      <xdr:colOff>401302</xdr:colOff>
      <xdr:row>66</xdr:row>
      <xdr:rowOff>162122</xdr:rowOff>
    </xdr:to>
    <xdr:sp macro="" textlink="">
      <xdr:nvSpPr>
        <xdr:cNvPr id="499" name="TextBox 498">
          <a:extLst>
            <a:ext uri="{FF2B5EF4-FFF2-40B4-BE49-F238E27FC236}">
              <a16:creationId xmlns:a16="http://schemas.microsoft.com/office/drawing/2014/main" id="{14D94240-40DE-4DA0-B1DB-F354EE40AFA0}"/>
            </a:ext>
          </a:extLst>
        </xdr:cNvPr>
        <xdr:cNvSpPr txBox="1"/>
      </xdr:nvSpPr>
      <xdr:spPr>
        <a:xfrm>
          <a:off x="13500847" y="11417694"/>
          <a:ext cx="921255" cy="4344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EST THROWIN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64</xdr:row>
      <xdr:rowOff>86306</xdr:rowOff>
    </xdr:from>
    <xdr:to>
      <xdr:col>24</xdr:col>
      <xdr:colOff>571925</xdr:colOff>
      <xdr:row>66</xdr:row>
      <xdr:rowOff>162122</xdr:rowOff>
    </xdr:to>
    <xdr:sp macro="" textlink="ANALYSIS!G145">
      <xdr:nvSpPr>
        <xdr:cNvPr id="500" name="TextBox 499">
          <a:extLst>
            <a:ext uri="{FF2B5EF4-FFF2-40B4-BE49-F238E27FC236}">
              <a16:creationId xmlns:a16="http://schemas.microsoft.com/office/drawing/2014/main" id="{E348EB86-79EE-42C9-8EEF-BBE9A4BF41C0}"/>
            </a:ext>
          </a:extLst>
        </xdr:cNvPr>
        <xdr:cNvSpPr txBox="1"/>
      </xdr:nvSpPr>
      <xdr:spPr>
        <a:xfrm>
          <a:off x="14498302" y="11590849"/>
          <a:ext cx="783536" cy="44025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56AF66C-1C72-430F-AF54-1F2E0CA5A9E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64</xdr:row>
      <xdr:rowOff>86306</xdr:rowOff>
    </xdr:from>
    <xdr:to>
      <xdr:col>26</xdr:col>
      <xdr:colOff>155463</xdr:colOff>
      <xdr:row>66</xdr:row>
      <xdr:rowOff>162122</xdr:rowOff>
    </xdr:to>
    <xdr:sp macro="" textlink="ANALYSIS!H145">
      <xdr:nvSpPr>
        <xdr:cNvPr id="501" name="TextBox 500">
          <a:extLst>
            <a:ext uri="{FF2B5EF4-FFF2-40B4-BE49-F238E27FC236}">
              <a16:creationId xmlns:a16="http://schemas.microsoft.com/office/drawing/2014/main" id="{3A9CAAFA-2D77-4ED5-9F8B-1F0954E0271B}"/>
            </a:ext>
          </a:extLst>
        </xdr:cNvPr>
        <xdr:cNvSpPr txBox="1"/>
      </xdr:nvSpPr>
      <xdr:spPr>
        <a:xfrm>
          <a:off x="15281838" y="11590849"/>
          <a:ext cx="809364" cy="44025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779B72A-0BA6-49B1-BCFE-F884D96FB03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64</xdr:row>
      <xdr:rowOff>86306</xdr:rowOff>
    </xdr:from>
    <xdr:to>
      <xdr:col>27</xdr:col>
      <xdr:colOff>341326</xdr:colOff>
      <xdr:row>66</xdr:row>
      <xdr:rowOff>162122</xdr:rowOff>
    </xdr:to>
    <xdr:sp macro="" textlink="ANALYSIS!I145">
      <xdr:nvSpPr>
        <xdr:cNvPr id="502" name="TextBox 501">
          <a:extLst>
            <a:ext uri="{FF2B5EF4-FFF2-40B4-BE49-F238E27FC236}">
              <a16:creationId xmlns:a16="http://schemas.microsoft.com/office/drawing/2014/main" id="{C817CE44-A895-4940-8B74-BA40AFB8FB02}"/>
            </a:ext>
          </a:extLst>
        </xdr:cNvPr>
        <xdr:cNvSpPr txBox="1"/>
      </xdr:nvSpPr>
      <xdr:spPr>
        <a:xfrm>
          <a:off x="16091202" y="11590849"/>
          <a:ext cx="798776" cy="44025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3CEF2BE-18AA-422C-9511-D6DDD5A3270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64</xdr:row>
      <xdr:rowOff>86306</xdr:rowOff>
    </xdr:from>
    <xdr:to>
      <xdr:col>28</xdr:col>
      <xdr:colOff>532905</xdr:colOff>
      <xdr:row>66</xdr:row>
      <xdr:rowOff>162122</xdr:rowOff>
    </xdr:to>
    <xdr:sp macro="" textlink="ANALYSIS!J145">
      <xdr:nvSpPr>
        <xdr:cNvPr id="503" name="TextBox 502">
          <a:extLst>
            <a:ext uri="{FF2B5EF4-FFF2-40B4-BE49-F238E27FC236}">
              <a16:creationId xmlns:a16="http://schemas.microsoft.com/office/drawing/2014/main" id="{D4604AA7-1DBC-4CB4-BD21-82D2A567ED3B}"/>
            </a:ext>
          </a:extLst>
        </xdr:cNvPr>
        <xdr:cNvSpPr txBox="1"/>
      </xdr:nvSpPr>
      <xdr:spPr>
        <a:xfrm>
          <a:off x="16889978" y="11590849"/>
          <a:ext cx="804492" cy="44025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24A97E9-D962-46A5-A1AE-2F5235351D5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64</xdr:row>
      <xdr:rowOff>86306</xdr:rowOff>
    </xdr:from>
    <xdr:to>
      <xdr:col>30</xdr:col>
      <xdr:colOff>93582</xdr:colOff>
      <xdr:row>66</xdr:row>
      <xdr:rowOff>162122</xdr:rowOff>
    </xdr:to>
    <xdr:sp macro="" textlink="ANALYSIS!K145">
      <xdr:nvSpPr>
        <xdr:cNvPr id="504" name="TextBox 503">
          <a:extLst>
            <a:ext uri="{FF2B5EF4-FFF2-40B4-BE49-F238E27FC236}">
              <a16:creationId xmlns:a16="http://schemas.microsoft.com/office/drawing/2014/main" id="{CE176F5A-46C4-4E09-ADF5-6BF0178C8239}"/>
            </a:ext>
          </a:extLst>
        </xdr:cNvPr>
        <xdr:cNvSpPr txBox="1"/>
      </xdr:nvSpPr>
      <xdr:spPr>
        <a:xfrm>
          <a:off x="17694470" y="11590849"/>
          <a:ext cx="786503" cy="44025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181829E-0D5D-4DBC-B528-2D2BC5FA7E2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64</xdr:row>
      <xdr:rowOff>86306</xdr:rowOff>
    </xdr:from>
    <xdr:to>
      <xdr:col>31</xdr:col>
      <xdr:colOff>285161</xdr:colOff>
      <xdr:row>66</xdr:row>
      <xdr:rowOff>162122</xdr:rowOff>
    </xdr:to>
    <xdr:sp macro="" textlink="ANALYSIS!L145">
      <xdr:nvSpPr>
        <xdr:cNvPr id="505" name="TextBox 504">
          <a:extLst>
            <a:ext uri="{FF2B5EF4-FFF2-40B4-BE49-F238E27FC236}">
              <a16:creationId xmlns:a16="http://schemas.microsoft.com/office/drawing/2014/main" id="{EE826F76-CE6E-4CF5-BB1B-F9C9BBCABA29}"/>
            </a:ext>
          </a:extLst>
        </xdr:cNvPr>
        <xdr:cNvSpPr txBox="1"/>
      </xdr:nvSpPr>
      <xdr:spPr>
        <a:xfrm>
          <a:off x="18480973" y="11590849"/>
          <a:ext cx="804492" cy="44025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D3FCAC1-4765-4741-B3A6-428CD9DC2BF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64</xdr:row>
      <xdr:rowOff>86306</xdr:rowOff>
    </xdr:from>
    <xdr:to>
      <xdr:col>32</xdr:col>
      <xdr:colOff>474834</xdr:colOff>
      <xdr:row>66</xdr:row>
      <xdr:rowOff>162122</xdr:rowOff>
    </xdr:to>
    <xdr:sp macro="" textlink="ANALYSIS!M145">
      <xdr:nvSpPr>
        <xdr:cNvPr id="506" name="TextBox 505">
          <a:extLst>
            <a:ext uri="{FF2B5EF4-FFF2-40B4-BE49-F238E27FC236}">
              <a16:creationId xmlns:a16="http://schemas.microsoft.com/office/drawing/2014/main" id="{C6840F8D-432B-46EA-8058-B49E2584D857}"/>
            </a:ext>
          </a:extLst>
        </xdr:cNvPr>
        <xdr:cNvSpPr txBox="1"/>
      </xdr:nvSpPr>
      <xdr:spPr>
        <a:xfrm>
          <a:off x="19285465" y="11590849"/>
          <a:ext cx="802586" cy="44025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C32B663-EE19-4B3F-9F05-EA24394501A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89647</xdr:colOff>
      <xdr:row>66</xdr:row>
      <xdr:rowOff>162122</xdr:rowOff>
    </xdr:from>
    <xdr:to>
      <xdr:col>23</xdr:col>
      <xdr:colOff>401302</xdr:colOff>
      <xdr:row>69</xdr:row>
      <xdr:rowOff>23826</xdr:rowOff>
    </xdr:to>
    <xdr:sp macro="" textlink="">
      <xdr:nvSpPr>
        <xdr:cNvPr id="507" name="TextBox 506">
          <a:extLst>
            <a:ext uri="{FF2B5EF4-FFF2-40B4-BE49-F238E27FC236}">
              <a16:creationId xmlns:a16="http://schemas.microsoft.com/office/drawing/2014/main" id="{8B75A66F-B5D2-4440-8069-65079326EC30}"/>
            </a:ext>
          </a:extLst>
        </xdr:cNvPr>
        <xdr:cNvSpPr txBox="1"/>
      </xdr:nvSpPr>
      <xdr:spPr>
        <a:xfrm>
          <a:off x="13500847" y="11852098"/>
          <a:ext cx="921255" cy="3995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EST FKOPEN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66</xdr:row>
      <xdr:rowOff>162122</xdr:rowOff>
    </xdr:from>
    <xdr:to>
      <xdr:col>24</xdr:col>
      <xdr:colOff>571925</xdr:colOff>
      <xdr:row>69</xdr:row>
      <xdr:rowOff>23826</xdr:rowOff>
    </xdr:to>
    <xdr:sp macro="" textlink="ANALYSIS!G146">
      <xdr:nvSpPr>
        <xdr:cNvPr id="508" name="TextBox 507">
          <a:extLst>
            <a:ext uri="{FF2B5EF4-FFF2-40B4-BE49-F238E27FC236}">
              <a16:creationId xmlns:a16="http://schemas.microsoft.com/office/drawing/2014/main" id="{1E8F1474-B2B8-496F-B9E4-8FF506DE96BB}"/>
            </a:ext>
          </a:extLst>
        </xdr:cNvPr>
        <xdr:cNvSpPr txBox="1"/>
      </xdr:nvSpPr>
      <xdr:spPr>
        <a:xfrm>
          <a:off x="14498302" y="12031100"/>
          <a:ext cx="783536" cy="40835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3399FEA-5DC6-48B2-86D4-99B91CD0A17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66</xdr:row>
      <xdr:rowOff>162122</xdr:rowOff>
    </xdr:from>
    <xdr:to>
      <xdr:col>26</xdr:col>
      <xdr:colOff>155463</xdr:colOff>
      <xdr:row>69</xdr:row>
      <xdr:rowOff>23826</xdr:rowOff>
    </xdr:to>
    <xdr:sp macro="" textlink="ANALYSIS!H146">
      <xdr:nvSpPr>
        <xdr:cNvPr id="509" name="TextBox 508">
          <a:extLst>
            <a:ext uri="{FF2B5EF4-FFF2-40B4-BE49-F238E27FC236}">
              <a16:creationId xmlns:a16="http://schemas.microsoft.com/office/drawing/2014/main" id="{31F99891-A1F4-4B85-BC84-B3E5AF7D2E1C}"/>
            </a:ext>
          </a:extLst>
        </xdr:cNvPr>
        <xdr:cNvSpPr txBox="1"/>
      </xdr:nvSpPr>
      <xdr:spPr>
        <a:xfrm>
          <a:off x="15281838" y="12031100"/>
          <a:ext cx="809364" cy="40835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E3B8B61-BB91-4265-A579-58B3771E6F2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66</xdr:row>
      <xdr:rowOff>162122</xdr:rowOff>
    </xdr:from>
    <xdr:to>
      <xdr:col>27</xdr:col>
      <xdr:colOff>341326</xdr:colOff>
      <xdr:row>69</xdr:row>
      <xdr:rowOff>23826</xdr:rowOff>
    </xdr:to>
    <xdr:sp macro="" textlink="ANALYSIS!I146">
      <xdr:nvSpPr>
        <xdr:cNvPr id="510" name="TextBox 509">
          <a:extLst>
            <a:ext uri="{FF2B5EF4-FFF2-40B4-BE49-F238E27FC236}">
              <a16:creationId xmlns:a16="http://schemas.microsoft.com/office/drawing/2014/main" id="{67DF94DF-4B06-4A4A-8ABF-DB8245924B99}"/>
            </a:ext>
          </a:extLst>
        </xdr:cNvPr>
        <xdr:cNvSpPr txBox="1"/>
      </xdr:nvSpPr>
      <xdr:spPr>
        <a:xfrm>
          <a:off x="16091202" y="12031100"/>
          <a:ext cx="798776" cy="40835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0BC3141-B002-4ABE-A70D-5E1CAAC1A8C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66</xdr:row>
      <xdr:rowOff>162122</xdr:rowOff>
    </xdr:from>
    <xdr:to>
      <xdr:col>28</xdr:col>
      <xdr:colOff>532905</xdr:colOff>
      <xdr:row>69</xdr:row>
      <xdr:rowOff>23826</xdr:rowOff>
    </xdr:to>
    <xdr:sp macro="" textlink="ANALYSIS!J146">
      <xdr:nvSpPr>
        <xdr:cNvPr id="511" name="TextBox 510">
          <a:extLst>
            <a:ext uri="{FF2B5EF4-FFF2-40B4-BE49-F238E27FC236}">
              <a16:creationId xmlns:a16="http://schemas.microsoft.com/office/drawing/2014/main" id="{AAA79AAC-EBDF-4CB4-8B9D-20F6F334D782}"/>
            </a:ext>
          </a:extLst>
        </xdr:cNvPr>
        <xdr:cNvSpPr txBox="1"/>
      </xdr:nvSpPr>
      <xdr:spPr>
        <a:xfrm>
          <a:off x="16889978" y="12031100"/>
          <a:ext cx="804492" cy="40835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B70F6A1-CF19-4FBD-B88E-EE481FE7989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66</xdr:row>
      <xdr:rowOff>162122</xdr:rowOff>
    </xdr:from>
    <xdr:to>
      <xdr:col>30</xdr:col>
      <xdr:colOff>93582</xdr:colOff>
      <xdr:row>69</xdr:row>
      <xdr:rowOff>23826</xdr:rowOff>
    </xdr:to>
    <xdr:sp macro="" textlink="ANALYSIS!K146">
      <xdr:nvSpPr>
        <xdr:cNvPr id="512" name="TextBox 511">
          <a:extLst>
            <a:ext uri="{FF2B5EF4-FFF2-40B4-BE49-F238E27FC236}">
              <a16:creationId xmlns:a16="http://schemas.microsoft.com/office/drawing/2014/main" id="{7B4C7885-CB3B-454A-BCC1-D42267663622}"/>
            </a:ext>
          </a:extLst>
        </xdr:cNvPr>
        <xdr:cNvSpPr txBox="1"/>
      </xdr:nvSpPr>
      <xdr:spPr>
        <a:xfrm>
          <a:off x="17694470" y="12031100"/>
          <a:ext cx="786503" cy="40835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BE9A30E-7053-4978-93DD-52FE995BEF5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66</xdr:row>
      <xdr:rowOff>162122</xdr:rowOff>
    </xdr:from>
    <xdr:to>
      <xdr:col>31</xdr:col>
      <xdr:colOff>285161</xdr:colOff>
      <xdr:row>69</xdr:row>
      <xdr:rowOff>23826</xdr:rowOff>
    </xdr:to>
    <xdr:sp macro="" textlink="ANALYSIS!L146">
      <xdr:nvSpPr>
        <xdr:cNvPr id="513" name="TextBox 512">
          <a:extLst>
            <a:ext uri="{FF2B5EF4-FFF2-40B4-BE49-F238E27FC236}">
              <a16:creationId xmlns:a16="http://schemas.microsoft.com/office/drawing/2014/main" id="{5575EA6E-4598-48BF-A803-FA4305F48FD1}"/>
            </a:ext>
          </a:extLst>
        </xdr:cNvPr>
        <xdr:cNvSpPr txBox="1"/>
      </xdr:nvSpPr>
      <xdr:spPr>
        <a:xfrm>
          <a:off x="18480973" y="12031100"/>
          <a:ext cx="804492" cy="40835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60EF254-E2B9-4B6D-87D5-606FD99226C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66</xdr:row>
      <xdr:rowOff>162122</xdr:rowOff>
    </xdr:from>
    <xdr:to>
      <xdr:col>32</xdr:col>
      <xdr:colOff>474834</xdr:colOff>
      <xdr:row>69</xdr:row>
      <xdr:rowOff>23826</xdr:rowOff>
    </xdr:to>
    <xdr:sp macro="" textlink="ANALYSIS!M146">
      <xdr:nvSpPr>
        <xdr:cNvPr id="514" name="TextBox 513">
          <a:extLst>
            <a:ext uri="{FF2B5EF4-FFF2-40B4-BE49-F238E27FC236}">
              <a16:creationId xmlns:a16="http://schemas.microsoft.com/office/drawing/2014/main" id="{F589C63F-A3A6-4630-8E69-E9B6A7AE549F}"/>
            </a:ext>
          </a:extLst>
        </xdr:cNvPr>
        <xdr:cNvSpPr txBox="1"/>
      </xdr:nvSpPr>
      <xdr:spPr>
        <a:xfrm>
          <a:off x="19285465" y="12031100"/>
          <a:ext cx="802586" cy="40835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9A87ADB-4CF3-486B-B4D1-196420D94A6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89647</xdr:colOff>
      <xdr:row>69</xdr:row>
      <xdr:rowOff>23826</xdr:rowOff>
    </xdr:from>
    <xdr:to>
      <xdr:col>23</xdr:col>
      <xdr:colOff>401302</xdr:colOff>
      <xdr:row>71</xdr:row>
      <xdr:rowOff>67748</xdr:rowOff>
    </xdr:to>
    <xdr:sp macro="" textlink="">
      <xdr:nvSpPr>
        <xdr:cNvPr id="515" name="TextBox 514">
          <a:extLst>
            <a:ext uri="{FF2B5EF4-FFF2-40B4-BE49-F238E27FC236}">
              <a16:creationId xmlns:a16="http://schemas.microsoft.com/office/drawing/2014/main" id="{ECC88D4B-E972-4BC5-A42D-51018A0C0F8B}"/>
            </a:ext>
          </a:extLst>
        </xdr:cNvPr>
        <xdr:cNvSpPr txBox="1"/>
      </xdr:nvSpPr>
      <xdr:spPr>
        <a:xfrm>
          <a:off x="13500847" y="12251685"/>
          <a:ext cx="921255" cy="4025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EST KICKOFF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69</xdr:row>
      <xdr:rowOff>23826</xdr:rowOff>
    </xdr:from>
    <xdr:to>
      <xdr:col>24</xdr:col>
      <xdr:colOff>571925</xdr:colOff>
      <xdr:row>71</xdr:row>
      <xdr:rowOff>67748</xdr:rowOff>
    </xdr:to>
    <xdr:sp macro="" textlink="ANALYSIS!G147">
      <xdr:nvSpPr>
        <xdr:cNvPr id="516" name="TextBox 515">
          <a:extLst>
            <a:ext uri="{FF2B5EF4-FFF2-40B4-BE49-F238E27FC236}">
              <a16:creationId xmlns:a16="http://schemas.microsoft.com/office/drawing/2014/main" id="{0E41A45F-EF38-4B32-BFF8-DFD3683C2A86}"/>
            </a:ext>
          </a:extLst>
        </xdr:cNvPr>
        <xdr:cNvSpPr txBox="1"/>
      </xdr:nvSpPr>
      <xdr:spPr>
        <a:xfrm>
          <a:off x="14498302" y="12439456"/>
          <a:ext cx="783536" cy="4083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66E39F6-A4DD-4BF4-9FF4-F17AFA341F2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69</xdr:row>
      <xdr:rowOff>23826</xdr:rowOff>
    </xdr:from>
    <xdr:to>
      <xdr:col>26</xdr:col>
      <xdr:colOff>155463</xdr:colOff>
      <xdr:row>71</xdr:row>
      <xdr:rowOff>67748</xdr:rowOff>
    </xdr:to>
    <xdr:sp macro="" textlink="ANALYSIS!H147">
      <xdr:nvSpPr>
        <xdr:cNvPr id="517" name="TextBox 516">
          <a:extLst>
            <a:ext uri="{FF2B5EF4-FFF2-40B4-BE49-F238E27FC236}">
              <a16:creationId xmlns:a16="http://schemas.microsoft.com/office/drawing/2014/main" id="{17C19CCD-8AF4-48CD-8E73-1594EEBACE0B}"/>
            </a:ext>
          </a:extLst>
        </xdr:cNvPr>
        <xdr:cNvSpPr txBox="1"/>
      </xdr:nvSpPr>
      <xdr:spPr>
        <a:xfrm>
          <a:off x="15281838" y="12439456"/>
          <a:ext cx="809364" cy="4083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1123036-EB66-4252-B65C-08484DB5C6B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69</xdr:row>
      <xdr:rowOff>23826</xdr:rowOff>
    </xdr:from>
    <xdr:to>
      <xdr:col>27</xdr:col>
      <xdr:colOff>341326</xdr:colOff>
      <xdr:row>71</xdr:row>
      <xdr:rowOff>67748</xdr:rowOff>
    </xdr:to>
    <xdr:sp macro="" textlink="ANALYSIS!I147">
      <xdr:nvSpPr>
        <xdr:cNvPr id="518" name="TextBox 517">
          <a:extLst>
            <a:ext uri="{FF2B5EF4-FFF2-40B4-BE49-F238E27FC236}">
              <a16:creationId xmlns:a16="http://schemas.microsoft.com/office/drawing/2014/main" id="{09442F23-415A-4E50-8540-D1B4C9BC9676}"/>
            </a:ext>
          </a:extLst>
        </xdr:cNvPr>
        <xdr:cNvSpPr txBox="1"/>
      </xdr:nvSpPr>
      <xdr:spPr>
        <a:xfrm>
          <a:off x="16091202" y="12439456"/>
          <a:ext cx="798776" cy="4083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5A950D0-DF1B-4414-8626-6B37F28B20D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69</xdr:row>
      <xdr:rowOff>23826</xdr:rowOff>
    </xdr:from>
    <xdr:to>
      <xdr:col>28</xdr:col>
      <xdr:colOff>532905</xdr:colOff>
      <xdr:row>71</xdr:row>
      <xdr:rowOff>67748</xdr:rowOff>
    </xdr:to>
    <xdr:sp macro="" textlink="ANALYSIS!J147">
      <xdr:nvSpPr>
        <xdr:cNvPr id="519" name="TextBox 518">
          <a:extLst>
            <a:ext uri="{FF2B5EF4-FFF2-40B4-BE49-F238E27FC236}">
              <a16:creationId xmlns:a16="http://schemas.microsoft.com/office/drawing/2014/main" id="{17E5387F-E85D-4118-96CF-2E4781EF086F}"/>
            </a:ext>
          </a:extLst>
        </xdr:cNvPr>
        <xdr:cNvSpPr txBox="1"/>
      </xdr:nvSpPr>
      <xdr:spPr>
        <a:xfrm>
          <a:off x="16889978" y="12439456"/>
          <a:ext cx="804492" cy="4083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8A33782-8F03-43AB-B52A-7D1CD45F783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69</xdr:row>
      <xdr:rowOff>23826</xdr:rowOff>
    </xdr:from>
    <xdr:to>
      <xdr:col>30</xdr:col>
      <xdr:colOff>93582</xdr:colOff>
      <xdr:row>71</xdr:row>
      <xdr:rowOff>67748</xdr:rowOff>
    </xdr:to>
    <xdr:sp macro="" textlink="ANALYSIS!K147">
      <xdr:nvSpPr>
        <xdr:cNvPr id="520" name="TextBox 519">
          <a:extLst>
            <a:ext uri="{FF2B5EF4-FFF2-40B4-BE49-F238E27FC236}">
              <a16:creationId xmlns:a16="http://schemas.microsoft.com/office/drawing/2014/main" id="{A306FD90-4549-429B-B635-B44287550707}"/>
            </a:ext>
          </a:extLst>
        </xdr:cNvPr>
        <xdr:cNvSpPr txBox="1"/>
      </xdr:nvSpPr>
      <xdr:spPr>
        <a:xfrm>
          <a:off x="17694470" y="12439456"/>
          <a:ext cx="786503" cy="4083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E7A4B38-99F8-4920-8BA6-F83A387CF9D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69</xdr:row>
      <xdr:rowOff>23826</xdr:rowOff>
    </xdr:from>
    <xdr:to>
      <xdr:col>31</xdr:col>
      <xdr:colOff>285161</xdr:colOff>
      <xdr:row>71</xdr:row>
      <xdr:rowOff>67748</xdr:rowOff>
    </xdr:to>
    <xdr:sp macro="" textlink="ANALYSIS!L147">
      <xdr:nvSpPr>
        <xdr:cNvPr id="521" name="TextBox 520">
          <a:extLst>
            <a:ext uri="{FF2B5EF4-FFF2-40B4-BE49-F238E27FC236}">
              <a16:creationId xmlns:a16="http://schemas.microsoft.com/office/drawing/2014/main" id="{F3127C1E-B8F0-4CCA-BB8B-6ECBA56557AA}"/>
            </a:ext>
          </a:extLst>
        </xdr:cNvPr>
        <xdr:cNvSpPr txBox="1"/>
      </xdr:nvSpPr>
      <xdr:spPr>
        <a:xfrm>
          <a:off x="18480973" y="12439456"/>
          <a:ext cx="804492" cy="4083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587403F-F459-4C3B-8E11-BF2789C21FC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69</xdr:row>
      <xdr:rowOff>23826</xdr:rowOff>
    </xdr:from>
    <xdr:to>
      <xdr:col>32</xdr:col>
      <xdr:colOff>474834</xdr:colOff>
      <xdr:row>71</xdr:row>
      <xdr:rowOff>67748</xdr:rowOff>
    </xdr:to>
    <xdr:sp macro="" textlink="ANALYSIS!M147">
      <xdr:nvSpPr>
        <xdr:cNvPr id="522" name="TextBox 521">
          <a:extLst>
            <a:ext uri="{FF2B5EF4-FFF2-40B4-BE49-F238E27FC236}">
              <a16:creationId xmlns:a16="http://schemas.microsoft.com/office/drawing/2014/main" id="{1178C412-562F-4F0C-9638-BB6866176908}"/>
            </a:ext>
          </a:extLst>
        </xdr:cNvPr>
        <xdr:cNvSpPr txBox="1"/>
      </xdr:nvSpPr>
      <xdr:spPr>
        <a:xfrm>
          <a:off x="19285465" y="12439456"/>
          <a:ext cx="802586" cy="4083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F999262-04F8-493E-B08B-F1904DF56DF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89647</xdr:colOff>
      <xdr:row>71</xdr:row>
      <xdr:rowOff>67748</xdr:rowOff>
    </xdr:from>
    <xdr:to>
      <xdr:col>23</xdr:col>
      <xdr:colOff>401302</xdr:colOff>
      <xdr:row>73</xdr:row>
      <xdr:rowOff>132134</xdr:rowOff>
    </xdr:to>
    <xdr:sp macro="" textlink="">
      <xdr:nvSpPr>
        <xdr:cNvPr id="523" name="TextBox 522">
          <a:extLst>
            <a:ext uri="{FF2B5EF4-FFF2-40B4-BE49-F238E27FC236}">
              <a16:creationId xmlns:a16="http://schemas.microsoft.com/office/drawing/2014/main" id="{CCF7149B-389D-4343-A41E-D4B3E9CB54C2}"/>
            </a:ext>
          </a:extLst>
        </xdr:cNvPr>
        <xdr:cNvSpPr txBox="1"/>
      </xdr:nvSpPr>
      <xdr:spPr>
        <a:xfrm>
          <a:off x="13500847" y="12654195"/>
          <a:ext cx="921255" cy="42297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OPP GOALKICK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71</xdr:row>
      <xdr:rowOff>67748</xdr:rowOff>
    </xdr:from>
    <xdr:to>
      <xdr:col>24</xdr:col>
      <xdr:colOff>571925</xdr:colOff>
      <xdr:row>73</xdr:row>
      <xdr:rowOff>132134</xdr:rowOff>
    </xdr:to>
    <xdr:sp macro="" textlink="ANALYSIS!G148">
      <xdr:nvSpPr>
        <xdr:cNvPr id="524" name="TextBox 523">
          <a:extLst>
            <a:ext uri="{FF2B5EF4-FFF2-40B4-BE49-F238E27FC236}">
              <a16:creationId xmlns:a16="http://schemas.microsoft.com/office/drawing/2014/main" id="{34EB2050-495D-44E3-A5CC-39B21AF79A35}"/>
            </a:ext>
          </a:extLst>
        </xdr:cNvPr>
        <xdr:cNvSpPr txBox="1"/>
      </xdr:nvSpPr>
      <xdr:spPr>
        <a:xfrm>
          <a:off x="14498302" y="12847813"/>
          <a:ext cx="783536" cy="4288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B79673B-EA2A-444D-ADAF-65A81E1302C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71</xdr:row>
      <xdr:rowOff>67748</xdr:rowOff>
    </xdr:from>
    <xdr:to>
      <xdr:col>26</xdr:col>
      <xdr:colOff>155463</xdr:colOff>
      <xdr:row>73</xdr:row>
      <xdr:rowOff>132134</xdr:rowOff>
    </xdr:to>
    <xdr:sp macro="" textlink="ANALYSIS!H148">
      <xdr:nvSpPr>
        <xdr:cNvPr id="525" name="TextBox 524">
          <a:extLst>
            <a:ext uri="{FF2B5EF4-FFF2-40B4-BE49-F238E27FC236}">
              <a16:creationId xmlns:a16="http://schemas.microsoft.com/office/drawing/2014/main" id="{C8F58257-4CA4-4766-9DB7-9FF0D878F5B9}"/>
            </a:ext>
          </a:extLst>
        </xdr:cNvPr>
        <xdr:cNvSpPr txBox="1"/>
      </xdr:nvSpPr>
      <xdr:spPr>
        <a:xfrm>
          <a:off x="15281838" y="12847813"/>
          <a:ext cx="809364" cy="4288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C235C66-5778-4EBC-A88B-CEF8453FD1B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71</xdr:row>
      <xdr:rowOff>67748</xdr:rowOff>
    </xdr:from>
    <xdr:to>
      <xdr:col>27</xdr:col>
      <xdr:colOff>341326</xdr:colOff>
      <xdr:row>73</xdr:row>
      <xdr:rowOff>132134</xdr:rowOff>
    </xdr:to>
    <xdr:sp macro="" textlink="ANALYSIS!I148">
      <xdr:nvSpPr>
        <xdr:cNvPr id="526" name="TextBox 525">
          <a:extLst>
            <a:ext uri="{FF2B5EF4-FFF2-40B4-BE49-F238E27FC236}">
              <a16:creationId xmlns:a16="http://schemas.microsoft.com/office/drawing/2014/main" id="{9287DD20-8F56-4CFD-A92F-6A8DD05A1FE4}"/>
            </a:ext>
          </a:extLst>
        </xdr:cNvPr>
        <xdr:cNvSpPr txBox="1"/>
      </xdr:nvSpPr>
      <xdr:spPr>
        <a:xfrm>
          <a:off x="16091202" y="12847813"/>
          <a:ext cx="798776" cy="4288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CBCD84D-EDB7-4611-AC40-705D1286D7A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71</xdr:row>
      <xdr:rowOff>67748</xdr:rowOff>
    </xdr:from>
    <xdr:to>
      <xdr:col>28</xdr:col>
      <xdr:colOff>532905</xdr:colOff>
      <xdr:row>73</xdr:row>
      <xdr:rowOff>132134</xdr:rowOff>
    </xdr:to>
    <xdr:sp macro="" textlink="ANALYSIS!J148">
      <xdr:nvSpPr>
        <xdr:cNvPr id="527" name="TextBox 526">
          <a:extLst>
            <a:ext uri="{FF2B5EF4-FFF2-40B4-BE49-F238E27FC236}">
              <a16:creationId xmlns:a16="http://schemas.microsoft.com/office/drawing/2014/main" id="{47D8BBFD-F447-48C8-9150-72100ADE8205}"/>
            </a:ext>
          </a:extLst>
        </xdr:cNvPr>
        <xdr:cNvSpPr txBox="1"/>
      </xdr:nvSpPr>
      <xdr:spPr>
        <a:xfrm>
          <a:off x="16889978" y="12847813"/>
          <a:ext cx="804492" cy="4288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BFA278D-473B-48E9-9966-370C91FC0DD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71</xdr:row>
      <xdr:rowOff>67748</xdr:rowOff>
    </xdr:from>
    <xdr:to>
      <xdr:col>30</xdr:col>
      <xdr:colOff>93582</xdr:colOff>
      <xdr:row>73</xdr:row>
      <xdr:rowOff>132134</xdr:rowOff>
    </xdr:to>
    <xdr:sp macro="" textlink="ANALYSIS!K148">
      <xdr:nvSpPr>
        <xdr:cNvPr id="528" name="TextBox 527">
          <a:extLst>
            <a:ext uri="{FF2B5EF4-FFF2-40B4-BE49-F238E27FC236}">
              <a16:creationId xmlns:a16="http://schemas.microsoft.com/office/drawing/2014/main" id="{D3C52CB1-D9AA-4E7D-91EE-74601E5E3E17}"/>
            </a:ext>
          </a:extLst>
        </xdr:cNvPr>
        <xdr:cNvSpPr txBox="1"/>
      </xdr:nvSpPr>
      <xdr:spPr>
        <a:xfrm>
          <a:off x="17694470" y="12847813"/>
          <a:ext cx="786503" cy="4288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972977F-5A2B-469A-A858-E3E64740069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71</xdr:row>
      <xdr:rowOff>67748</xdr:rowOff>
    </xdr:from>
    <xdr:to>
      <xdr:col>31</xdr:col>
      <xdr:colOff>285161</xdr:colOff>
      <xdr:row>73</xdr:row>
      <xdr:rowOff>132134</xdr:rowOff>
    </xdr:to>
    <xdr:sp macro="" textlink="ANALYSIS!L148">
      <xdr:nvSpPr>
        <xdr:cNvPr id="529" name="TextBox 528">
          <a:extLst>
            <a:ext uri="{FF2B5EF4-FFF2-40B4-BE49-F238E27FC236}">
              <a16:creationId xmlns:a16="http://schemas.microsoft.com/office/drawing/2014/main" id="{11DDF9AE-57E1-4E5C-BFF9-983EEEE9C037}"/>
            </a:ext>
          </a:extLst>
        </xdr:cNvPr>
        <xdr:cNvSpPr txBox="1"/>
      </xdr:nvSpPr>
      <xdr:spPr>
        <a:xfrm>
          <a:off x="18480973" y="12847813"/>
          <a:ext cx="804492" cy="4288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AE96429-F880-4E41-8FE9-B8FAC46ED28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71</xdr:row>
      <xdr:rowOff>67748</xdr:rowOff>
    </xdr:from>
    <xdr:to>
      <xdr:col>32</xdr:col>
      <xdr:colOff>474834</xdr:colOff>
      <xdr:row>73</xdr:row>
      <xdr:rowOff>132134</xdr:rowOff>
    </xdr:to>
    <xdr:sp macro="" textlink="ANALYSIS!M148">
      <xdr:nvSpPr>
        <xdr:cNvPr id="530" name="TextBox 529">
          <a:extLst>
            <a:ext uri="{FF2B5EF4-FFF2-40B4-BE49-F238E27FC236}">
              <a16:creationId xmlns:a16="http://schemas.microsoft.com/office/drawing/2014/main" id="{7007B8D5-9D4D-4096-93BD-6D8EE892D1F3}"/>
            </a:ext>
          </a:extLst>
        </xdr:cNvPr>
        <xdr:cNvSpPr txBox="1"/>
      </xdr:nvSpPr>
      <xdr:spPr>
        <a:xfrm>
          <a:off x="19285465" y="12847813"/>
          <a:ext cx="802586" cy="4288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4B4D11F-9EFA-4542-9068-666847448FC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89647</xdr:colOff>
      <xdr:row>73</xdr:row>
      <xdr:rowOff>132134</xdr:rowOff>
    </xdr:from>
    <xdr:to>
      <xdr:col>23</xdr:col>
      <xdr:colOff>401302</xdr:colOff>
      <xdr:row>76</xdr:row>
      <xdr:rowOff>2477</xdr:rowOff>
    </xdr:to>
    <xdr:sp macro="" textlink="">
      <xdr:nvSpPr>
        <xdr:cNvPr id="531" name="TextBox 530">
          <a:extLst>
            <a:ext uri="{FF2B5EF4-FFF2-40B4-BE49-F238E27FC236}">
              <a16:creationId xmlns:a16="http://schemas.microsoft.com/office/drawing/2014/main" id="{1076D5F4-5975-420E-8F50-903E240D0541}"/>
            </a:ext>
          </a:extLst>
        </xdr:cNvPr>
        <xdr:cNvSpPr txBox="1"/>
      </xdr:nvSpPr>
      <xdr:spPr>
        <a:xfrm>
          <a:off x="13500847" y="13077169"/>
          <a:ext cx="921255" cy="40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00">
              <a:latin typeface="Titillium Bd" panose="00000800000000000000" pitchFamily="50" charset="0"/>
            </a:rPr>
            <a:t>OPP THROWIN</a:t>
          </a:r>
          <a:endParaRPr lang="et-EE" sz="8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73</xdr:row>
      <xdr:rowOff>132134</xdr:rowOff>
    </xdr:from>
    <xdr:to>
      <xdr:col>24</xdr:col>
      <xdr:colOff>571925</xdr:colOff>
      <xdr:row>75</xdr:row>
      <xdr:rowOff>181771</xdr:rowOff>
    </xdr:to>
    <xdr:sp macro="" textlink="ANALYSIS!G149">
      <xdr:nvSpPr>
        <xdr:cNvPr id="532" name="TextBox 531">
          <a:extLst>
            <a:ext uri="{FF2B5EF4-FFF2-40B4-BE49-F238E27FC236}">
              <a16:creationId xmlns:a16="http://schemas.microsoft.com/office/drawing/2014/main" id="{BC610662-3AF7-429E-92F7-EB86DA5DD407}"/>
            </a:ext>
          </a:extLst>
        </xdr:cNvPr>
        <xdr:cNvSpPr txBox="1"/>
      </xdr:nvSpPr>
      <xdr:spPr>
        <a:xfrm>
          <a:off x="14498302" y="13276634"/>
          <a:ext cx="783536" cy="4140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1092A51-F1E8-44AB-BDFC-F262017B862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73</xdr:row>
      <xdr:rowOff>132134</xdr:rowOff>
    </xdr:from>
    <xdr:to>
      <xdr:col>26</xdr:col>
      <xdr:colOff>155463</xdr:colOff>
      <xdr:row>75</xdr:row>
      <xdr:rowOff>181771</xdr:rowOff>
    </xdr:to>
    <xdr:sp macro="" textlink="ANALYSIS!H149">
      <xdr:nvSpPr>
        <xdr:cNvPr id="533" name="TextBox 532">
          <a:extLst>
            <a:ext uri="{FF2B5EF4-FFF2-40B4-BE49-F238E27FC236}">
              <a16:creationId xmlns:a16="http://schemas.microsoft.com/office/drawing/2014/main" id="{B09383A1-3317-496D-A002-08102B65691C}"/>
            </a:ext>
          </a:extLst>
        </xdr:cNvPr>
        <xdr:cNvSpPr txBox="1"/>
      </xdr:nvSpPr>
      <xdr:spPr>
        <a:xfrm>
          <a:off x="15281838" y="13276634"/>
          <a:ext cx="809364" cy="4140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5169C2A-338C-47F4-9925-9D8F561939F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73</xdr:row>
      <xdr:rowOff>132134</xdr:rowOff>
    </xdr:from>
    <xdr:to>
      <xdr:col>27</xdr:col>
      <xdr:colOff>341326</xdr:colOff>
      <xdr:row>75</xdr:row>
      <xdr:rowOff>181771</xdr:rowOff>
    </xdr:to>
    <xdr:sp macro="" textlink="ANALYSIS!I149">
      <xdr:nvSpPr>
        <xdr:cNvPr id="534" name="TextBox 533">
          <a:extLst>
            <a:ext uri="{FF2B5EF4-FFF2-40B4-BE49-F238E27FC236}">
              <a16:creationId xmlns:a16="http://schemas.microsoft.com/office/drawing/2014/main" id="{3739038C-3826-4C51-A8F5-305926E9C653}"/>
            </a:ext>
          </a:extLst>
        </xdr:cNvPr>
        <xdr:cNvSpPr txBox="1"/>
      </xdr:nvSpPr>
      <xdr:spPr>
        <a:xfrm>
          <a:off x="16091202" y="13276634"/>
          <a:ext cx="798776" cy="4140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28C61FC-6A45-4CEE-89DE-1A20D46DF2F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73</xdr:row>
      <xdr:rowOff>132134</xdr:rowOff>
    </xdr:from>
    <xdr:to>
      <xdr:col>28</xdr:col>
      <xdr:colOff>532905</xdr:colOff>
      <xdr:row>75</xdr:row>
      <xdr:rowOff>181771</xdr:rowOff>
    </xdr:to>
    <xdr:sp macro="" textlink="ANALYSIS!J149">
      <xdr:nvSpPr>
        <xdr:cNvPr id="535" name="TextBox 534">
          <a:extLst>
            <a:ext uri="{FF2B5EF4-FFF2-40B4-BE49-F238E27FC236}">
              <a16:creationId xmlns:a16="http://schemas.microsoft.com/office/drawing/2014/main" id="{11B5CBDF-1B30-4574-B8B5-27D7DAF621E6}"/>
            </a:ext>
          </a:extLst>
        </xdr:cNvPr>
        <xdr:cNvSpPr txBox="1"/>
      </xdr:nvSpPr>
      <xdr:spPr>
        <a:xfrm>
          <a:off x="16889978" y="13276634"/>
          <a:ext cx="804492" cy="4140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C76B01E-96F0-4425-B1AB-BA3F729F867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73</xdr:row>
      <xdr:rowOff>132134</xdr:rowOff>
    </xdr:from>
    <xdr:to>
      <xdr:col>30</xdr:col>
      <xdr:colOff>93582</xdr:colOff>
      <xdr:row>75</xdr:row>
      <xdr:rowOff>181771</xdr:rowOff>
    </xdr:to>
    <xdr:sp macro="" textlink="ANALYSIS!K149">
      <xdr:nvSpPr>
        <xdr:cNvPr id="536" name="TextBox 535">
          <a:extLst>
            <a:ext uri="{FF2B5EF4-FFF2-40B4-BE49-F238E27FC236}">
              <a16:creationId xmlns:a16="http://schemas.microsoft.com/office/drawing/2014/main" id="{6AE345A1-A624-41BB-AB6E-068FB48EC733}"/>
            </a:ext>
          </a:extLst>
        </xdr:cNvPr>
        <xdr:cNvSpPr txBox="1"/>
      </xdr:nvSpPr>
      <xdr:spPr>
        <a:xfrm>
          <a:off x="17694470" y="13276634"/>
          <a:ext cx="786503" cy="4140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0246C56-6981-4586-AC6C-04D5A6291A1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73</xdr:row>
      <xdr:rowOff>132134</xdr:rowOff>
    </xdr:from>
    <xdr:to>
      <xdr:col>31</xdr:col>
      <xdr:colOff>285161</xdr:colOff>
      <xdr:row>75</xdr:row>
      <xdr:rowOff>181771</xdr:rowOff>
    </xdr:to>
    <xdr:sp macro="" textlink="ANALYSIS!L149">
      <xdr:nvSpPr>
        <xdr:cNvPr id="537" name="TextBox 536">
          <a:extLst>
            <a:ext uri="{FF2B5EF4-FFF2-40B4-BE49-F238E27FC236}">
              <a16:creationId xmlns:a16="http://schemas.microsoft.com/office/drawing/2014/main" id="{B2D9D7AD-EC31-4DD9-865C-8E626B9320CA}"/>
            </a:ext>
          </a:extLst>
        </xdr:cNvPr>
        <xdr:cNvSpPr txBox="1"/>
      </xdr:nvSpPr>
      <xdr:spPr>
        <a:xfrm>
          <a:off x="18480973" y="13276634"/>
          <a:ext cx="804492" cy="4140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A93AB00-85CF-473B-9191-7E00DC596F5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73</xdr:row>
      <xdr:rowOff>132134</xdr:rowOff>
    </xdr:from>
    <xdr:to>
      <xdr:col>32</xdr:col>
      <xdr:colOff>474834</xdr:colOff>
      <xdr:row>75</xdr:row>
      <xdr:rowOff>181771</xdr:rowOff>
    </xdr:to>
    <xdr:sp macro="" textlink="ANALYSIS!M149">
      <xdr:nvSpPr>
        <xdr:cNvPr id="538" name="TextBox 537">
          <a:extLst>
            <a:ext uri="{FF2B5EF4-FFF2-40B4-BE49-F238E27FC236}">
              <a16:creationId xmlns:a16="http://schemas.microsoft.com/office/drawing/2014/main" id="{E39D2A99-55DF-4F09-A1F2-73ABCDEC83F7}"/>
            </a:ext>
          </a:extLst>
        </xdr:cNvPr>
        <xdr:cNvSpPr txBox="1"/>
      </xdr:nvSpPr>
      <xdr:spPr>
        <a:xfrm>
          <a:off x="19285465" y="13276634"/>
          <a:ext cx="802586" cy="4140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833C854-0FD8-45BB-A0E8-341493F7B49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89647</xdr:colOff>
      <xdr:row>76</xdr:row>
      <xdr:rowOff>2477</xdr:rowOff>
    </xdr:from>
    <xdr:to>
      <xdr:col>23</xdr:col>
      <xdr:colOff>401302</xdr:colOff>
      <xdr:row>78</xdr:row>
      <xdr:rowOff>39665</xdr:rowOff>
    </xdr:to>
    <xdr:sp macro="" textlink="">
      <xdr:nvSpPr>
        <xdr:cNvPr id="539" name="TextBox 538">
          <a:extLst>
            <a:ext uri="{FF2B5EF4-FFF2-40B4-BE49-F238E27FC236}">
              <a16:creationId xmlns:a16="http://schemas.microsoft.com/office/drawing/2014/main" id="{DE56639B-142E-4210-9F77-6B953C3EAA70}"/>
            </a:ext>
          </a:extLst>
        </xdr:cNvPr>
        <xdr:cNvSpPr txBox="1"/>
      </xdr:nvSpPr>
      <xdr:spPr>
        <a:xfrm>
          <a:off x="13500847" y="13485395"/>
          <a:ext cx="921255" cy="39577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OPP FKOPEN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75</xdr:row>
      <xdr:rowOff>181771</xdr:rowOff>
    </xdr:from>
    <xdr:to>
      <xdr:col>24</xdr:col>
      <xdr:colOff>571925</xdr:colOff>
      <xdr:row>78</xdr:row>
      <xdr:rowOff>39665</xdr:rowOff>
    </xdr:to>
    <xdr:sp macro="" textlink="ANALYSIS!G150">
      <xdr:nvSpPr>
        <xdr:cNvPr id="540" name="TextBox 539">
          <a:extLst>
            <a:ext uri="{FF2B5EF4-FFF2-40B4-BE49-F238E27FC236}">
              <a16:creationId xmlns:a16="http://schemas.microsoft.com/office/drawing/2014/main" id="{39211BD1-59B0-4D60-8402-61F38CE21346}"/>
            </a:ext>
          </a:extLst>
        </xdr:cNvPr>
        <xdr:cNvSpPr txBox="1"/>
      </xdr:nvSpPr>
      <xdr:spPr>
        <a:xfrm>
          <a:off x="14498302" y="13690706"/>
          <a:ext cx="783536" cy="40454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13965FC-22F8-49F0-81CE-DE9CADCCA3F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75</xdr:row>
      <xdr:rowOff>181771</xdr:rowOff>
    </xdr:from>
    <xdr:to>
      <xdr:col>26</xdr:col>
      <xdr:colOff>155463</xdr:colOff>
      <xdr:row>78</xdr:row>
      <xdr:rowOff>39665</xdr:rowOff>
    </xdr:to>
    <xdr:sp macro="" textlink="ANALYSIS!H150">
      <xdr:nvSpPr>
        <xdr:cNvPr id="541" name="TextBox 540">
          <a:extLst>
            <a:ext uri="{FF2B5EF4-FFF2-40B4-BE49-F238E27FC236}">
              <a16:creationId xmlns:a16="http://schemas.microsoft.com/office/drawing/2014/main" id="{8F6C0280-DB3F-40BD-92A6-86C9795B7FD0}"/>
            </a:ext>
          </a:extLst>
        </xdr:cNvPr>
        <xdr:cNvSpPr txBox="1"/>
      </xdr:nvSpPr>
      <xdr:spPr>
        <a:xfrm>
          <a:off x="15281838" y="13690706"/>
          <a:ext cx="809364" cy="40454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D49383D-62EC-4C2B-BA1D-E09F458D414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75</xdr:row>
      <xdr:rowOff>181771</xdr:rowOff>
    </xdr:from>
    <xdr:to>
      <xdr:col>27</xdr:col>
      <xdr:colOff>341326</xdr:colOff>
      <xdr:row>78</xdr:row>
      <xdr:rowOff>39665</xdr:rowOff>
    </xdr:to>
    <xdr:sp macro="" textlink="ANALYSIS!I150">
      <xdr:nvSpPr>
        <xdr:cNvPr id="542" name="TextBox 541">
          <a:extLst>
            <a:ext uri="{FF2B5EF4-FFF2-40B4-BE49-F238E27FC236}">
              <a16:creationId xmlns:a16="http://schemas.microsoft.com/office/drawing/2014/main" id="{75B55297-55D5-48E5-A39A-C93E46F68948}"/>
            </a:ext>
          </a:extLst>
        </xdr:cNvPr>
        <xdr:cNvSpPr txBox="1"/>
      </xdr:nvSpPr>
      <xdr:spPr>
        <a:xfrm>
          <a:off x="16091202" y="13690706"/>
          <a:ext cx="798776" cy="40454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4FA3EEC-54AB-4CE6-8570-C1B5B73CD15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75</xdr:row>
      <xdr:rowOff>181771</xdr:rowOff>
    </xdr:from>
    <xdr:to>
      <xdr:col>28</xdr:col>
      <xdr:colOff>532905</xdr:colOff>
      <xdr:row>78</xdr:row>
      <xdr:rowOff>39665</xdr:rowOff>
    </xdr:to>
    <xdr:sp macro="" textlink="ANALYSIS!J150">
      <xdr:nvSpPr>
        <xdr:cNvPr id="543" name="TextBox 542">
          <a:extLst>
            <a:ext uri="{FF2B5EF4-FFF2-40B4-BE49-F238E27FC236}">
              <a16:creationId xmlns:a16="http://schemas.microsoft.com/office/drawing/2014/main" id="{1BA2D84B-2FFD-4475-B9A5-FC4B13B6B5BB}"/>
            </a:ext>
          </a:extLst>
        </xdr:cNvPr>
        <xdr:cNvSpPr txBox="1"/>
      </xdr:nvSpPr>
      <xdr:spPr>
        <a:xfrm>
          <a:off x="16889978" y="13690706"/>
          <a:ext cx="804492" cy="40454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9397883-C2C8-438F-9A89-406DD173A32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75</xdr:row>
      <xdr:rowOff>181771</xdr:rowOff>
    </xdr:from>
    <xdr:to>
      <xdr:col>30</xdr:col>
      <xdr:colOff>93582</xdr:colOff>
      <xdr:row>78</xdr:row>
      <xdr:rowOff>39665</xdr:rowOff>
    </xdr:to>
    <xdr:sp macro="" textlink="ANALYSIS!K150">
      <xdr:nvSpPr>
        <xdr:cNvPr id="544" name="TextBox 543">
          <a:extLst>
            <a:ext uri="{FF2B5EF4-FFF2-40B4-BE49-F238E27FC236}">
              <a16:creationId xmlns:a16="http://schemas.microsoft.com/office/drawing/2014/main" id="{5EF63F89-ED4C-44BA-B936-5AD9F99D6822}"/>
            </a:ext>
          </a:extLst>
        </xdr:cNvPr>
        <xdr:cNvSpPr txBox="1"/>
      </xdr:nvSpPr>
      <xdr:spPr>
        <a:xfrm>
          <a:off x="17694470" y="13690706"/>
          <a:ext cx="786503" cy="40454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1C7C49E-975E-4761-88F4-399A007C031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75</xdr:row>
      <xdr:rowOff>181771</xdr:rowOff>
    </xdr:from>
    <xdr:to>
      <xdr:col>31</xdr:col>
      <xdr:colOff>285161</xdr:colOff>
      <xdr:row>78</xdr:row>
      <xdr:rowOff>39665</xdr:rowOff>
    </xdr:to>
    <xdr:sp macro="" textlink="ANALYSIS!L150">
      <xdr:nvSpPr>
        <xdr:cNvPr id="545" name="TextBox 544">
          <a:extLst>
            <a:ext uri="{FF2B5EF4-FFF2-40B4-BE49-F238E27FC236}">
              <a16:creationId xmlns:a16="http://schemas.microsoft.com/office/drawing/2014/main" id="{F2CA701F-760C-43A9-83AE-20BAD6A8705A}"/>
            </a:ext>
          </a:extLst>
        </xdr:cNvPr>
        <xdr:cNvSpPr txBox="1"/>
      </xdr:nvSpPr>
      <xdr:spPr>
        <a:xfrm>
          <a:off x="18480973" y="13690706"/>
          <a:ext cx="804492" cy="40454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8DE82F2-995B-491E-B353-540644122B4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75</xdr:row>
      <xdr:rowOff>181771</xdr:rowOff>
    </xdr:from>
    <xdr:to>
      <xdr:col>32</xdr:col>
      <xdr:colOff>474834</xdr:colOff>
      <xdr:row>78</xdr:row>
      <xdr:rowOff>39665</xdr:rowOff>
    </xdr:to>
    <xdr:sp macro="" textlink="ANALYSIS!M150">
      <xdr:nvSpPr>
        <xdr:cNvPr id="546" name="TextBox 545">
          <a:extLst>
            <a:ext uri="{FF2B5EF4-FFF2-40B4-BE49-F238E27FC236}">
              <a16:creationId xmlns:a16="http://schemas.microsoft.com/office/drawing/2014/main" id="{CA48E927-124A-4DEC-9675-A4E6D9F84AF6}"/>
            </a:ext>
          </a:extLst>
        </xdr:cNvPr>
        <xdr:cNvSpPr txBox="1"/>
      </xdr:nvSpPr>
      <xdr:spPr>
        <a:xfrm>
          <a:off x="19285465" y="13690706"/>
          <a:ext cx="802586" cy="40454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4217FA5-77AD-4C0D-8D36-E3B29B65358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89647</xdr:colOff>
      <xdr:row>78</xdr:row>
      <xdr:rowOff>39665</xdr:rowOff>
    </xdr:from>
    <xdr:to>
      <xdr:col>23</xdr:col>
      <xdr:colOff>401302</xdr:colOff>
      <xdr:row>80</xdr:row>
      <xdr:rowOff>131211</xdr:rowOff>
    </xdr:to>
    <xdr:sp macro="" textlink="">
      <xdr:nvSpPr>
        <xdr:cNvPr id="547" name="TextBox 546">
          <a:extLst>
            <a:ext uri="{FF2B5EF4-FFF2-40B4-BE49-F238E27FC236}">
              <a16:creationId xmlns:a16="http://schemas.microsoft.com/office/drawing/2014/main" id="{18CB8B7F-525E-48D0-8513-A202F89FA548}"/>
            </a:ext>
          </a:extLst>
        </xdr:cNvPr>
        <xdr:cNvSpPr txBox="1"/>
      </xdr:nvSpPr>
      <xdr:spPr>
        <a:xfrm>
          <a:off x="13500847" y="13881171"/>
          <a:ext cx="921255" cy="45013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OPP KICKOFF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401302</xdr:colOff>
      <xdr:row>78</xdr:row>
      <xdr:rowOff>39665</xdr:rowOff>
    </xdr:from>
    <xdr:to>
      <xdr:col>24</xdr:col>
      <xdr:colOff>571925</xdr:colOff>
      <xdr:row>80</xdr:row>
      <xdr:rowOff>131211</xdr:rowOff>
    </xdr:to>
    <xdr:sp macro="" textlink="ANALYSIS!G151">
      <xdr:nvSpPr>
        <xdr:cNvPr id="548" name="TextBox 547">
          <a:extLst>
            <a:ext uri="{FF2B5EF4-FFF2-40B4-BE49-F238E27FC236}">
              <a16:creationId xmlns:a16="http://schemas.microsoft.com/office/drawing/2014/main" id="{F5AD97C8-567E-42FD-9913-3CF7FC46D256}"/>
            </a:ext>
          </a:extLst>
        </xdr:cNvPr>
        <xdr:cNvSpPr txBox="1"/>
      </xdr:nvSpPr>
      <xdr:spPr>
        <a:xfrm>
          <a:off x="14498302" y="14095252"/>
          <a:ext cx="783536" cy="45598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B15143E-23C7-474B-BB76-D76C9DE344F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571925</xdr:colOff>
      <xdr:row>78</xdr:row>
      <xdr:rowOff>39665</xdr:rowOff>
    </xdr:from>
    <xdr:to>
      <xdr:col>26</xdr:col>
      <xdr:colOff>155463</xdr:colOff>
      <xdr:row>80</xdr:row>
      <xdr:rowOff>131211</xdr:rowOff>
    </xdr:to>
    <xdr:sp macro="" textlink="ANALYSIS!H151">
      <xdr:nvSpPr>
        <xdr:cNvPr id="549" name="TextBox 548">
          <a:extLst>
            <a:ext uri="{FF2B5EF4-FFF2-40B4-BE49-F238E27FC236}">
              <a16:creationId xmlns:a16="http://schemas.microsoft.com/office/drawing/2014/main" id="{C3F8E507-A547-4EFD-A217-E31703C8749E}"/>
            </a:ext>
          </a:extLst>
        </xdr:cNvPr>
        <xdr:cNvSpPr txBox="1"/>
      </xdr:nvSpPr>
      <xdr:spPr>
        <a:xfrm>
          <a:off x="15281838" y="14095252"/>
          <a:ext cx="809364" cy="45598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2405E42-6CA9-4DE6-8B96-02DE2E5B882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155463</xdr:colOff>
      <xdr:row>78</xdr:row>
      <xdr:rowOff>39665</xdr:rowOff>
    </xdr:from>
    <xdr:to>
      <xdr:col>27</xdr:col>
      <xdr:colOff>341326</xdr:colOff>
      <xdr:row>80</xdr:row>
      <xdr:rowOff>131211</xdr:rowOff>
    </xdr:to>
    <xdr:sp macro="" textlink="ANALYSIS!I151">
      <xdr:nvSpPr>
        <xdr:cNvPr id="550" name="TextBox 549">
          <a:extLst>
            <a:ext uri="{FF2B5EF4-FFF2-40B4-BE49-F238E27FC236}">
              <a16:creationId xmlns:a16="http://schemas.microsoft.com/office/drawing/2014/main" id="{0777593A-45CE-4417-855C-8CC26508AA8F}"/>
            </a:ext>
          </a:extLst>
        </xdr:cNvPr>
        <xdr:cNvSpPr txBox="1"/>
      </xdr:nvSpPr>
      <xdr:spPr>
        <a:xfrm>
          <a:off x="16091202" y="14095252"/>
          <a:ext cx="798776" cy="45598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3C8BCEA-9C52-45F7-89C9-C7E71F496AD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341326</xdr:colOff>
      <xdr:row>78</xdr:row>
      <xdr:rowOff>39665</xdr:rowOff>
    </xdr:from>
    <xdr:to>
      <xdr:col>28</xdr:col>
      <xdr:colOff>532905</xdr:colOff>
      <xdr:row>80</xdr:row>
      <xdr:rowOff>131211</xdr:rowOff>
    </xdr:to>
    <xdr:sp macro="" textlink="ANALYSIS!J151">
      <xdr:nvSpPr>
        <xdr:cNvPr id="551" name="TextBox 550">
          <a:extLst>
            <a:ext uri="{FF2B5EF4-FFF2-40B4-BE49-F238E27FC236}">
              <a16:creationId xmlns:a16="http://schemas.microsoft.com/office/drawing/2014/main" id="{F7C36129-22A8-42F8-8986-30904DFD5D93}"/>
            </a:ext>
          </a:extLst>
        </xdr:cNvPr>
        <xdr:cNvSpPr txBox="1"/>
      </xdr:nvSpPr>
      <xdr:spPr>
        <a:xfrm>
          <a:off x="16889978" y="14095252"/>
          <a:ext cx="804492" cy="45598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F7CB102-40D8-4B0A-B6DD-CA83545E255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532905</xdr:colOff>
      <xdr:row>78</xdr:row>
      <xdr:rowOff>39665</xdr:rowOff>
    </xdr:from>
    <xdr:to>
      <xdr:col>30</xdr:col>
      <xdr:colOff>93582</xdr:colOff>
      <xdr:row>80</xdr:row>
      <xdr:rowOff>131211</xdr:rowOff>
    </xdr:to>
    <xdr:sp macro="" textlink="ANALYSIS!K151">
      <xdr:nvSpPr>
        <xdr:cNvPr id="552" name="TextBox 551">
          <a:extLst>
            <a:ext uri="{FF2B5EF4-FFF2-40B4-BE49-F238E27FC236}">
              <a16:creationId xmlns:a16="http://schemas.microsoft.com/office/drawing/2014/main" id="{1469CE7A-A949-48EF-937B-5637B826C791}"/>
            </a:ext>
          </a:extLst>
        </xdr:cNvPr>
        <xdr:cNvSpPr txBox="1"/>
      </xdr:nvSpPr>
      <xdr:spPr>
        <a:xfrm>
          <a:off x="17694470" y="14095252"/>
          <a:ext cx="786503" cy="45598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E3B4CA3-70DE-47BD-80EA-5C832DED128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93582</xdr:colOff>
      <xdr:row>78</xdr:row>
      <xdr:rowOff>39665</xdr:rowOff>
    </xdr:from>
    <xdr:to>
      <xdr:col>31</xdr:col>
      <xdr:colOff>285161</xdr:colOff>
      <xdr:row>80</xdr:row>
      <xdr:rowOff>131211</xdr:rowOff>
    </xdr:to>
    <xdr:sp macro="" textlink="ANALYSIS!L151">
      <xdr:nvSpPr>
        <xdr:cNvPr id="553" name="TextBox 552">
          <a:extLst>
            <a:ext uri="{FF2B5EF4-FFF2-40B4-BE49-F238E27FC236}">
              <a16:creationId xmlns:a16="http://schemas.microsoft.com/office/drawing/2014/main" id="{8185D2C4-8031-4880-BAE9-C29A7B23E6D6}"/>
            </a:ext>
          </a:extLst>
        </xdr:cNvPr>
        <xdr:cNvSpPr txBox="1"/>
      </xdr:nvSpPr>
      <xdr:spPr>
        <a:xfrm>
          <a:off x="18480973" y="14095252"/>
          <a:ext cx="804492" cy="45598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165912A-0C33-43C5-A749-B5A10E3DB49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285161</xdr:colOff>
      <xdr:row>78</xdr:row>
      <xdr:rowOff>39665</xdr:rowOff>
    </xdr:from>
    <xdr:to>
      <xdr:col>32</xdr:col>
      <xdr:colOff>474834</xdr:colOff>
      <xdr:row>80</xdr:row>
      <xdr:rowOff>131211</xdr:rowOff>
    </xdr:to>
    <xdr:sp macro="" textlink="ANALYSIS!M151">
      <xdr:nvSpPr>
        <xdr:cNvPr id="554" name="TextBox 553">
          <a:extLst>
            <a:ext uri="{FF2B5EF4-FFF2-40B4-BE49-F238E27FC236}">
              <a16:creationId xmlns:a16="http://schemas.microsoft.com/office/drawing/2014/main" id="{5F9300FF-753A-409E-81A4-69A46D52D2EB}"/>
            </a:ext>
          </a:extLst>
        </xdr:cNvPr>
        <xdr:cNvSpPr txBox="1"/>
      </xdr:nvSpPr>
      <xdr:spPr>
        <a:xfrm>
          <a:off x="19285465" y="14095252"/>
          <a:ext cx="802586" cy="45598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0F99A9A-9810-4BAD-9E6A-38080E096D6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0</xdr:colOff>
      <xdr:row>51</xdr:row>
      <xdr:rowOff>25237</xdr:rowOff>
    </xdr:from>
    <xdr:to>
      <xdr:col>32</xdr:col>
      <xdr:colOff>587086</xdr:colOff>
      <xdr:row>54</xdr:row>
      <xdr:rowOff>12077</xdr:rowOff>
    </xdr:to>
    <xdr:sp macro="" textlink="">
      <xdr:nvSpPr>
        <xdr:cNvPr id="555" name="TextBox 554">
          <a:extLst>
            <a:ext uri="{FF2B5EF4-FFF2-40B4-BE49-F238E27FC236}">
              <a16:creationId xmlns:a16="http://schemas.microsoft.com/office/drawing/2014/main" id="{7AA532FD-8A42-4678-A1F4-93631CC1C9F8}"/>
            </a:ext>
          </a:extLst>
        </xdr:cNvPr>
        <xdr:cNvSpPr txBox="1"/>
      </xdr:nvSpPr>
      <xdr:spPr>
        <a:xfrm>
          <a:off x="13411200" y="9463151"/>
          <a:ext cx="6683086" cy="57466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STANDARDID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22</xdr:col>
      <xdr:colOff>0</xdr:colOff>
      <xdr:row>56</xdr:row>
      <xdr:rowOff>90447</xdr:rowOff>
    </xdr:from>
    <xdr:to>
      <xdr:col>32</xdr:col>
      <xdr:colOff>586741</xdr:colOff>
      <xdr:row>58</xdr:row>
      <xdr:rowOff>112440</xdr:rowOff>
    </xdr:to>
    <xdr:sp macro="" textlink="">
      <xdr:nvSpPr>
        <xdr:cNvPr id="556" name="TextBox 555">
          <a:extLst>
            <a:ext uri="{FF2B5EF4-FFF2-40B4-BE49-F238E27FC236}">
              <a16:creationId xmlns:a16="http://schemas.microsoft.com/office/drawing/2014/main" id="{98A5CA6F-F4B0-47CE-AFD4-5E9CB0723389}"/>
            </a:ext>
          </a:extLst>
        </xdr:cNvPr>
        <xdr:cNvSpPr txBox="1"/>
      </xdr:nvSpPr>
      <xdr:spPr>
        <a:xfrm>
          <a:off x="13484087" y="10137251"/>
          <a:ext cx="6715871" cy="38642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Avangud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22</xdr:col>
      <xdr:colOff>0</xdr:colOff>
      <xdr:row>97</xdr:row>
      <xdr:rowOff>181558</xdr:rowOff>
    </xdr:from>
    <xdr:to>
      <xdr:col>32</xdr:col>
      <xdr:colOff>587086</xdr:colOff>
      <xdr:row>101</xdr:row>
      <xdr:rowOff>3409</xdr:rowOff>
    </xdr:to>
    <xdr:sp macro="" textlink="">
      <xdr:nvSpPr>
        <xdr:cNvPr id="557" name="TextBox 556">
          <a:extLst>
            <a:ext uri="{FF2B5EF4-FFF2-40B4-BE49-F238E27FC236}">
              <a16:creationId xmlns:a16="http://schemas.microsoft.com/office/drawing/2014/main" id="{150D1B78-83FB-4942-92BF-5AB6955C988C}"/>
            </a:ext>
          </a:extLst>
        </xdr:cNvPr>
        <xdr:cNvSpPr txBox="1"/>
      </xdr:nvSpPr>
      <xdr:spPr>
        <a:xfrm>
          <a:off x="13484087" y="17881493"/>
          <a:ext cx="6716216" cy="55072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STANDARDID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22</xdr:col>
      <xdr:colOff>0</xdr:colOff>
      <xdr:row>102</xdr:row>
      <xdr:rowOff>142890</xdr:rowOff>
    </xdr:from>
    <xdr:to>
      <xdr:col>32</xdr:col>
      <xdr:colOff>586741</xdr:colOff>
      <xdr:row>104</xdr:row>
      <xdr:rowOff>142023</xdr:rowOff>
    </xdr:to>
    <xdr:sp macro="" textlink="">
      <xdr:nvSpPr>
        <xdr:cNvPr id="558" name="TextBox 557">
          <a:extLst>
            <a:ext uri="{FF2B5EF4-FFF2-40B4-BE49-F238E27FC236}">
              <a16:creationId xmlns:a16="http://schemas.microsoft.com/office/drawing/2014/main" id="{BE3DAC0D-3A43-451A-B184-10737FC385F8}"/>
            </a:ext>
          </a:extLst>
        </xdr:cNvPr>
        <xdr:cNvSpPr txBox="1"/>
      </xdr:nvSpPr>
      <xdr:spPr>
        <a:xfrm>
          <a:off x="13484087" y="18753912"/>
          <a:ext cx="6715871" cy="36356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Direct standardid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107</xdr:row>
      <xdr:rowOff>116543</xdr:rowOff>
    </xdr:from>
    <xdr:to>
      <xdr:col>24</xdr:col>
      <xdr:colOff>517540</xdr:colOff>
      <xdr:row>110</xdr:row>
      <xdr:rowOff>72402</xdr:rowOff>
    </xdr:to>
    <xdr:sp macro="" textlink="">
      <xdr:nvSpPr>
        <xdr:cNvPr id="560" name="TextBox 559">
          <a:extLst>
            <a:ext uri="{FF2B5EF4-FFF2-40B4-BE49-F238E27FC236}">
              <a16:creationId xmlns:a16="http://schemas.microsoft.com/office/drawing/2014/main" id="{82F54D1E-1550-4DCE-BD85-BDE683252239}"/>
            </a:ext>
          </a:extLst>
        </xdr:cNvPr>
        <xdr:cNvSpPr txBox="1"/>
      </xdr:nvSpPr>
      <xdr:spPr>
        <a:xfrm>
          <a:off x="14380208" y="19336872"/>
          <a:ext cx="767732" cy="4937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KOKKU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517540</xdr:colOff>
      <xdr:row>107</xdr:row>
      <xdr:rowOff>116543</xdr:rowOff>
    </xdr:from>
    <xdr:to>
      <xdr:col>26</xdr:col>
      <xdr:colOff>93239</xdr:colOff>
      <xdr:row>110</xdr:row>
      <xdr:rowOff>72402</xdr:rowOff>
    </xdr:to>
    <xdr:sp macro="" textlink="">
      <xdr:nvSpPr>
        <xdr:cNvPr id="561" name="TextBox 560">
          <a:extLst>
            <a:ext uri="{FF2B5EF4-FFF2-40B4-BE49-F238E27FC236}">
              <a16:creationId xmlns:a16="http://schemas.microsoft.com/office/drawing/2014/main" id="{8EF72016-A35C-46AE-9A13-1D754EDF837A}"/>
            </a:ext>
          </a:extLst>
        </xdr:cNvPr>
        <xdr:cNvSpPr txBox="1"/>
      </xdr:nvSpPr>
      <xdr:spPr>
        <a:xfrm>
          <a:off x="15147940" y="19336872"/>
          <a:ext cx="794899" cy="4937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KEEP</a:t>
          </a:r>
          <a:r>
            <a:rPr lang="en-US" sz="1000" baseline="0">
              <a:latin typeface="Titillium Bd" panose="00000800000000000000" pitchFamily="50" charset="0"/>
            </a:rPr>
            <a:t> POS.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26</xdr:col>
      <xdr:colOff>93239</xdr:colOff>
      <xdr:row>107</xdr:row>
      <xdr:rowOff>116543</xdr:rowOff>
    </xdr:from>
    <xdr:to>
      <xdr:col>27</xdr:col>
      <xdr:colOff>283756</xdr:colOff>
      <xdr:row>110</xdr:row>
      <xdr:rowOff>72402</xdr:rowOff>
    </xdr:to>
    <xdr:sp macro="" textlink="">
      <xdr:nvSpPr>
        <xdr:cNvPr id="562" name="TextBox 561">
          <a:extLst>
            <a:ext uri="{FF2B5EF4-FFF2-40B4-BE49-F238E27FC236}">
              <a16:creationId xmlns:a16="http://schemas.microsoft.com/office/drawing/2014/main" id="{FD8F178A-8E87-4C18-9617-56C8751988C4}"/>
            </a:ext>
          </a:extLst>
        </xdr:cNvPr>
        <xdr:cNvSpPr txBox="1"/>
      </xdr:nvSpPr>
      <xdr:spPr>
        <a:xfrm>
          <a:off x="15942839" y="19336872"/>
          <a:ext cx="800117" cy="4937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LOSE POS.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27</xdr:col>
      <xdr:colOff>283756</xdr:colOff>
      <xdr:row>107</xdr:row>
      <xdr:rowOff>116543</xdr:rowOff>
    </xdr:from>
    <xdr:to>
      <xdr:col>28</xdr:col>
      <xdr:colOff>474273</xdr:colOff>
      <xdr:row>110</xdr:row>
      <xdr:rowOff>72402</xdr:rowOff>
    </xdr:to>
    <xdr:sp macro="" textlink="">
      <xdr:nvSpPr>
        <xdr:cNvPr id="563" name="TextBox 562">
          <a:extLst>
            <a:ext uri="{FF2B5EF4-FFF2-40B4-BE49-F238E27FC236}">
              <a16:creationId xmlns:a16="http://schemas.microsoft.com/office/drawing/2014/main" id="{981E9EB9-6C16-456D-94C0-C3B8F8E5D89D}"/>
            </a:ext>
          </a:extLst>
        </xdr:cNvPr>
        <xdr:cNvSpPr txBox="1"/>
      </xdr:nvSpPr>
      <xdr:spPr>
        <a:xfrm>
          <a:off x="16742956" y="19336872"/>
          <a:ext cx="800117" cy="4937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WIN</a:t>
          </a:r>
          <a:r>
            <a:rPr lang="en-US" sz="1000" baseline="0">
              <a:latin typeface="Titillium Bd" panose="00000800000000000000" pitchFamily="50" charset="0"/>
            </a:rPr>
            <a:t> NEW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28</xdr:col>
      <xdr:colOff>474273</xdr:colOff>
      <xdr:row>107</xdr:row>
      <xdr:rowOff>116543</xdr:rowOff>
    </xdr:from>
    <xdr:to>
      <xdr:col>30</xdr:col>
      <xdr:colOff>19492</xdr:colOff>
      <xdr:row>110</xdr:row>
      <xdr:rowOff>72402</xdr:rowOff>
    </xdr:to>
    <xdr:sp macro="" textlink="">
      <xdr:nvSpPr>
        <xdr:cNvPr id="564" name="TextBox 563">
          <a:extLst>
            <a:ext uri="{FF2B5EF4-FFF2-40B4-BE49-F238E27FC236}">
              <a16:creationId xmlns:a16="http://schemas.microsoft.com/office/drawing/2014/main" id="{0EB13DA7-C4AC-416A-9DBE-2B298645CF21}"/>
            </a:ext>
          </a:extLst>
        </xdr:cNvPr>
        <xdr:cNvSpPr txBox="1"/>
      </xdr:nvSpPr>
      <xdr:spPr>
        <a:xfrm>
          <a:off x="17543073" y="19336872"/>
          <a:ext cx="764419" cy="4937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LOSE NEW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30</xdr:col>
      <xdr:colOff>19492</xdr:colOff>
      <xdr:row>107</xdr:row>
      <xdr:rowOff>116543</xdr:rowOff>
    </xdr:from>
    <xdr:to>
      <xdr:col>31</xdr:col>
      <xdr:colOff>208104</xdr:colOff>
      <xdr:row>110</xdr:row>
      <xdr:rowOff>72402</xdr:rowOff>
    </xdr:to>
    <xdr:sp macro="" textlink="">
      <xdr:nvSpPr>
        <xdr:cNvPr id="565" name="TextBox 564">
          <a:extLst>
            <a:ext uri="{FF2B5EF4-FFF2-40B4-BE49-F238E27FC236}">
              <a16:creationId xmlns:a16="http://schemas.microsoft.com/office/drawing/2014/main" id="{CF157756-A338-488E-A3E8-62FB5C05CC69}"/>
            </a:ext>
          </a:extLst>
        </xdr:cNvPr>
        <xdr:cNvSpPr txBox="1"/>
      </xdr:nvSpPr>
      <xdr:spPr>
        <a:xfrm>
          <a:off x="18307492" y="19336872"/>
          <a:ext cx="798212" cy="4937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GOAL ATTEMPT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31</xdr:col>
      <xdr:colOff>208104</xdr:colOff>
      <xdr:row>107</xdr:row>
      <xdr:rowOff>116543</xdr:rowOff>
    </xdr:from>
    <xdr:to>
      <xdr:col>32</xdr:col>
      <xdr:colOff>398621</xdr:colOff>
      <xdr:row>110</xdr:row>
      <xdr:rowOff>72402</xdr:rowOff>
    </xdr:to>
    <xdr:sp macro="" textlink="">
      <xdr:nvSpPr>
        <xdr:cNvPr id="566" name="TextBox 565">
          <a:extLst>
            <a:ext uri="{FF2B5EF4-FFF2-40B4-BE49-F238E27FC236}">
              <a16:creationId xmlns:a16="http://schemas.microsoft.com/office/drawing/2014/main" id="{B46023BA-52A6-4204-B616-F7BB5A584993}"/>
            </a:ext>
          </a:extLst>
        </xdr:cNvPr>
        <xdr:cNvSpPr txBox="1"/>
      </xdr:nvSpPr>
      <xdr:spPr>
        <a:xfrm>
          <a:off x="19105704" y="19336872"/>
          <a:ext cx="800117" cy="4937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GOAL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22</xdr:col>
      <xdr:colOff>62753</xdr:colOff>
      <xdr:row>110</xdr:row>
      <xdr:rowOff>72401</xdr:rowOff>
    </xdr:from>
    <xdr:to>
      <xdr:col>23</xdr:col>
      <xdr:colOff>359408</xdr:colOff>
      <xdr:row>112</xdr:row>
      <xdr:rowOff>103966</xdr:rowOff>
    </xdr:to>
    <xdr:sp macro="" textlink="">
      <xdr:nvSpPr>
        <xdr:cNvPr id="567" name="TextBox 566">
          <a:extLst>
            <a:ext uri="{FF2B5EF4-FFF2-40B4-BE49-F238E27FC236}">
              <a16:creationId xmlns:a16="http://schemas.microsoft.com/office/drawing/2014/main" id="{B1480878-DFE0-4FA9-B4BE-91E8EC172B14}"/>
            </a:ext>
          </a:extLst>
        </xdr:cNvPr>
        <xdr:cNvSpPr txBox="1"/>
      </xdr:nvSpPr>
      <xdr:spPr>
        <a:xfrm>
          <a:off x="13473953" y="19830613"/>
          <a:ext cx="906255" cy="3901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EST CORNER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110</xdr:row>
      <xdr:rowOff>72401</xdr:rowOff>
    </xdr:from>
    <xdr:to>
      <xdr:col>24</xdr:col>
      <xdr:colOff>517540</xdr:colOff>
      <xdr:row>112</xdr:row>
      <xdr:rowOff>103966</xdr:rowOff>
    </xdr:to>
    <xdr:sp macro="" textlink="ANALYSIS!G154">
      <xdr:nvSpPr>
        <xdr:cNvPr id="568" name="TextBox 567">
          <a:extLst>
            <a:ext uri="{FF2B5EF4-FFF2-40B4-BE49-F238E27FC236}">
              <a16:creationId xmlns:a16="http://schemas.microsoft.com/office/drawing/2014/main" id="{05EF3A8D-3064-4B19-B370-AC4CC4B53855}"/>
            </a:ext>
          </a:extLst>
        </xdr:cNvPr>
        <xdr:cNvSpPr txBox="1"/>
      </xdr:nvSpPr>
      <xdr:spPr>
        <a:xfrm>
          <a:off x="14456408" y="20141162"/>
          <a:ext cx="77104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70B73CF-EC97-4EA5-9F77-67354194F16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110</xdr:row>
      <xdr:rowOff>72401</xdr:rowOff>
    </xdr:from>
    <xdr:to>
      <xdr:col>26</xdr:col>
      <xdr:colOff>93239</xdr:colOff>
      <xdr:row>112</xdr:row>
      <xdr:rowOff>103966</xdr:rowOff>
    </xdr:to>
    <xdr:sp macro="" textlink="ANALYSIS!H154">
      <xdr:nvSpPr>
        <xdr:cNvPr id="569" name="TextBox 568">
          <a:extLst>
            <a:ext uri="{FF2B5EF4-FFF2-40B4-BE49-F238E27FC236}">
              <a16:creationId xmlns:a16="http://schemas.microsoft.com/office/drawing/2014/main" id="{2161BC24-15E7-4F21-9A0A-99117E2BF041}"/>
            </a:ext>
          </a:extLst>
        </xdr:cNvPr>
        <xdr:cNvSpPr txBox="1"/>
      </xdr:nvSpPr>
      <xdr:spPr>
        <a:xfrm>
          <a:off x="15227453" y="20141162"/>
          <a:ext cx="80152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58F0B4D-45E6-4304-9ACA-A25D8D96BDE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110</xdr:row>
      <xdr:rowOff>72401</xdr:rowOff>
    </xdr:from>
    <xdr:to>
      <xdr:col>27</xdr:col>
      <xdr:colOff>283756</xdr:colOff>
      <xdr:row>112</xdr:row>
      <xdr:rowOff>103966</xdr:rowOff>
    </xdr:to>
    <xdr:sp macro="" textlink="ANALYSIS!I154">
      <xdr:nvSpPr>
        <xdr:cNvPr id="570" name="TextBox 569">
          <a:extLst>
            <a:ext uri="{FF2B5EF4-FFF2-40B4-BE49-F238E27FC236}">
              <a16:creationId xmlns:a16="http://schemas.microsoft.com/office/drawing/2014/main" id="{71B29462-7401-40FA-865B-1B428A9BE950}"/>
            </a:ext>
          </a:extLst>
        </xdr:cNvPr>
        <xdr:cNvSpPr txBox="1"/>
      </xdr:nvSpPr>
      <xdr:spPr>
        <a:xfrm>
          <a:off x="16028978" y="20141162"/>
          <a:ext cx="80343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F9EB56F-4081-4B00-B799-38B2DFD897D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110</xdr:row>
      <xdr:rowOff>72401</xdr:rowOff>
    </xdr:from>
    <xdr:to>
      <xdr:col>28</xdr:col>
      <xdr:colOff>474273</xdr:colOff>
      <xdr:row>112</xdr:row>
      <xdr:rowOff>103966</xdr:rowOff>
    </xdr:to>
    <xdr:sp macro="" textlink="ANALYSIS!J154">
      <xdr:nvSpPr>
        <xdr:cNvPr id="571" name="TextBox 570">
          <a:extLst>
            <a:ext uri="{FF2B5EF4-FFF2-40B4-BE49-F238E27FC236}">
              <a16:creationId xmlns:a16="http://schemas.microsoft.com/office/drawing/2014/main" id="{4768E9AB-A8A7-48BB-B847-0A77844B5A6D}"/>
            </a:ext>
          </a:extLst>
        </xdr:cNvPr>
        <xdr:cNvSpPr txBox="1"/>
      </xdr:nvSpPr>
      <xdr:spPr>
        <a:xfrm>
          <a:off x="16832408" y="20141162"/>
          <a:ext cx="80343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54CC64D-7CA3-40B2-B4BE-3A6D175B9D0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110</xdr:row>
      <xdr:rowOff>72401</xdr:rowOff>
    </xdr:from>
    <xdr:to>
      <xdr:col>30</xdr:col>
      <xdr:colOff>19492</xdr:colOff>
      <xdr:row>112</xdr:row>
      <xdr:rowOff>103966</xdr:rowOff>
    </xdr:to>
    <xdr:sp macro="" textlink="ANALYSIS!K154">
      <xdr:nvSpPr>
        <xdr:cNvPr id="572" name="TextBox 571">
          <a:extLst>
            <a:ext uri="{FF2B5EF4-FFF2-40B4-BE49-F238E27FC236}">
              <a16:creationId xmlns:a16="http://schemas.microsoft.com/office/drawing/2014/main" id="{7D987A57-3365-4B4D-BF79-D3587AC15E41}"/>
            </a:ext>
          </a:extLst>
        </xdr:cNvPr>
        <xdr:cNvSpPr txBox="1"/>
      </xdr:nvSpPr>
      <xdr:spPr>
        <a:xfrm>
          <a:off x="17635838" y="20141162"/>
          <a:ext cx="77104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5D76C6E-3285-4DED-A312-921B02C744E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110</xdr:row>
      <xdr:rowOff>72401</xdr:rowOff>
    </xdr:from>
    <xdr:to>
      <xdr:col>31</xdr:col>
      <xdr:colOff>208104</xdr:colOff>
      <xdr:row>112</xdr:row>
      <xdr:rowOff>103966</xdr:rowOff>
    </xdr:to>
    <xdr:sp macro="" textlink="ANALYSIS!L154">
      <xdr:nvSpPr>
        <xdr:cNvPr id="573" name="TextBox 572">
          <a:extLst>
            <a:ext uri="{FF2B5EF4-FFF2-40B4-BE49-F238E27FC236}">
              <a16:creationId xmlns:a16="http://schemas.microsoft.com/office/drawing/2014/main" id="{D5E91B4A-A9A9-4838-A2E4-CD5BDB6E4B6D}"/>
            </a:ext>
          </a:extLst>
        </xdr:cNvPr>
        <xdr:cNvSpPr txBox="1"/>
      </xdr:nvSpPr>
      <xdr:spPr>
        <a:xfrm>
          <a:off x="18406883" y="20141162"/>
          <a:ext cx="80152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A2CA39C-D6DF-498B-90B3-160349B79A0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110</xdr:row>
      <xdr:rowOff>72401</xdr:rowOff>
    </xdr:from>
    <xdr:to>
      <xdr:col>32</xdr:col>
      <xdr:colOff>398621</xdr:colOff>
      <xdr:row>112</xdr:row>
      <xdr:rowOff>103966</xdr:rowOff>
    </xdr:to>
    <xdr:sp macro="" textlink="ANALYSIS!M154">
      <xdr:nvSpPr>
        <xdr:cNvPr id="574" name="TextBox 573">
          <a:extLst>
            <a:ext uri="{FF2B5EF4-FFF2-40B4-BE49-F238E27FC236}">
              <a16:creationId xmlns:a16="http://schemas.microsoft.com/office/drawing/2014/main" id="{EF36B56E-37F5-4BF1-9D24-53D4AF1A50AA}"/>
            </a:ext>
          </a:extLst>
        </xdr:cNvPr>
        <xdr:cNvSpPr txBox="1"/>
      </xdr:nvSpPr>
      <xdr:spPr>
        <a:xfrm>
          <a:off x="19208408" y="20141162"/>
          <a:ext cx="80343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B3EB7EB-0374-450A-852C-D693A8E860F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62753</xdr:colOff>
      <xdr:row>112</xdr:row>
      <xdr:rowOff>103966</xdr:rowOff>
    </xdr:from>
    <xdr:to>
      <xdr:col>23</xdr:col>
      <xdr:colOff>359408</xdr:colOff>
      <xdr:row>114</xdr:row>
      <xdr:rowOff>139342</xdr:rowOff>
    </xdr:to>
    <xdr:sp macro="" textlink="">
      <xdr:nvSpPr>
        <xdr:cNvPr id="575" name="TextBox 574">
          <a:extLst>
            <a:ext uri="{FF2B5EF4-FFF2-40B4-BE49-F238E27FC236}">
              <a16:creationId xmlns:a16="http://schemas.microsoft.com/office/drawing/2014/main" id="{48E46D11-9FF9-4F57-82AF-2AFD0410F0BD}"/>
            </a:ext>
          </a:extLst>
        </xdr:cNvPr>
        <xdr:cNvSpPr txBox="1"/>
      </xdr:nvSpPr>
      <xdr:spPr>
        <a:xfrm>
          <a:off x="13473953" y="20220766"/>
          <a:ext cx="906255" cy="39396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EST FREEKICK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112</xdr:row>
      <xdr:rowOff>103966</xdr:rowOff>
    </xdr:from>
    <xdr:to>
      <xdr:col>24</xdr:col>
      <xdr:colOff>517540</xdr:colOff>
      <xdr:row>114</xdr:row>
      <xdr:rowOff>139342</xdr:rowOff>
    </xdr:to>
    <xdr:sp macro="" textlink="ANALYSIS!G155">
      <xdr:nvSpPr>
        <xdr:cNvPr id="576" name="TextBox 575">
          <a:extLst>
            <a:ext uri="{FF2B5EF4-FFF2-40B4-BE49-F238E27FC236}">
              <a16:creationId xmlns:a16="http://schemas.microsoft.com/office/drawing/2014/main" id="{51BDA680-7BF9-4B87-8A90-80B922BD8169}"/>
            </a:ext>
          </a:extLst>
        </xdr:cNvPr>
        <xdr:cNvSpPr txBox="1"/>
      </xdr:nvSpPr>
      <xdr:spPr>
        <a:xfrm>
          <a:off x="14456408" y="20537162"/>
          <a:ext cx="77104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C277FF5-47E0-4A30-ABAA-3B7B7CF0432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112</xdr:row>
      <xdr:rowOff>103966</xdr:rowOff>
    </xdr:from>
    <xdr:to>
      <xdr:col>26</xdr:col>
      <xdr:colOff>93239</xdr:colOff>
      <xdr:row>114</xdr:row>
      <xdr:rowOff>139342</xdr:rowOff>
    </xdr:to>
    <xdr:sp macro="" textlink="ANALYSIS!H155">
      <xdr:nvSpPr>
        <xdr:cNvPr id="577" name="TextBox 576">
          <a:extLst>
            <a:ext uri="{FF2B5EF4-FFF2-40B4-BE49-F238E27FC236}">
              <a16:creationId xmlns:a16="http://schemas.microsoft.com/office/drawing/2014/main" id="{DE68AD91-F00C-47A2-83FE-444E4003B673}"/>
            </a:ext>
          </a:extLst>
        </xdr:cNvPr>
        <xdr:cNvSpPr txBox="1"/>
      </xdr:nvSpPr>
      <xdr:spPr>
        <a:xfrm>
          <a:off x="15227453" y="20537162"/>
          <a:ext cx="80152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AAEEFB0-4374-4E0A-8BED-48C8FB099E2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112</xdr:row>
      <xdr:rowOff>103966</xdr:rowOff>
    </xdr:from>
    <xdr:to>
      <xdr:col>27</xdr:col>
      <xdr:colOff>283756</xdr:colOff>
      <xdr:row>114</xdr:row>
      <xdr:rowOff>139342</xdr:rowOff>
    </xdr:to>
    <xdr:sp macro="" textlink="ANALYSIS!I155">
      <xdr:nvSpPr>
        <xdr:cNvPr id="578" name="TextBox 577">
          <a:extLst>
            <a:ext uri="{FF2B5EF4-FFF2-40B4-BE49-F238E27FC236}">
              <a16:creationId xmlns:a16="http://schemas.microsoft.com/office/drawing/2014/main" id="{954437B0-8401-4E80-BB13-8C7BA2E06BEA}"/>
            </a:ext>
          </a:extLst>
        </xdr:cNvPr>
        <xdr:cNvSpPr txBox="1"/>
      </xdr:nvSpPr>
      <xdr:spPr>
        <a:xfrm>
          <a:off x="16028978" y="20537162"/>
          <a:ext cx="803430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416CA23-FB0A-4E7B-B8B9-3E1B25E45DE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112</xdr:row>
      <xdr:rowOff>103966</xdr:rowOff>
    </xdr:from>
    <xdr:to>
      <xdr:col>28</xdr:col>
      <xdr:colOff>474273</xdr:colOff>
      <xdr:row>114</xdr:row>
      <xdr:rowOff>139342</xdr:rowOff>
    </xdr:to>
    <xdr:sp macro="" textlink="ANALYSIS!J155">
      <xdr:nvSpPr>
        <xdr:cNvPr id="579" name="TextBox 578">
          <a:extLst>
            <a:ext uri="{FF2B5EF4-FFF2-40B4-BE49-F238E27FC236}">
              <a16:creationId xmlns:a16="http://schemas.microsoft.com/office/drawing/2014/main" id="{2FDA0182-D0AB-4827-BF0C-A9D24F232F3A}"/>
            </a:ext>
          </a:extLst>
        </xdr:cNvPr>
        <xdr:cNvSpPr txBox="1"/>
      </xdr:nvSpPr>
      <xdr:spPr>
        <a:xfrm>
          <a:off x="16832408" y="20537162"/>
          <a:ext cx="803430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CD3E45D-3027-46E5-8F0E-A3449898079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112</xdr:row>
      <xdr:rowOff>103966</xdr:rowOff>
    </xdr:from>
    <xdr:to>
      <xdr:col>30</xdr:col>
      <xdr:colOff>19492</xdr:colOff>
      <xdr:row>114</xdr:row>
      <xdr:rowOff>139342</xdr:rowOff>
    </xdr:to>
    <xdr:sp macro="" textlink="ANALYSIS!K155">
      <xdr:nvSpPr>
        <xdr:cNvPr id="580" name="TextBox 579">
          <a:extLst>
            <a:ext uri="{FF2B5EF4-FFF2-40B4-BE49-F238E27FC236}">
              <a16:creationId xmlns:a16="http://schemas.microsoft.com/office/drawing/2014/main" id="{04887CF2-5E8F-4490-B950-938EB2307610}"/>
            </a:ext>
          </a:extLst>
        </xdr:cNvPr>
        <xdr:cNvSpPr txBox="1"/>
      </xdr:nvSpPr>
      <xdr:spPr>
        <a:xfrm>
          <a:off x="17635838" y="20537162"/>
          <a:ext cx="77104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246B151-90B0-4F53-92BC-93DCC736D99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112</xdr:row>
      <xdr:rowOff>103966</xdr:rowOff>
    </xdr:from>
    <xdr:to>
      <xdr:col>31</xdr:col>
      <xdr:colOff>208104</xdr:colOff>
      <xdr:row>114</xdr:row>
      <xdr:rowOff>139342</xdr:rowOff>
    </xdr:to>
    <xdr:sp macro="" textlink="ANALYSIS!L155">
      <xdr:nvSpPr>
        <xdr:cNvPr id="581" name="TextBox 580">
          <a:extLst>
            <a:ext uri="{FF2B5EF4-FFF2-40B4-BE49-F238E27FC236}">
              <a16:creationId xmlns:a16="http://schemas.microsoft.com/office/drawing/2014/main" id="{6751E468-0895-47B2-A779-F2EDA139E1CC}"/>
            </a:ext>
          </a:extLst>
        </xdr:cNvPr>
        <xdr:cNvSpPr txBox="1"/>
      </xdr:nvSpPr>
      <xdr:spPr>
        <a:xfrm>
          <a:off x="18406883" y="20537162"/>
          <a:ext cx="80152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FEA92D0-12ED-40F8-B42A-D77F84232BA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112</xdr:row>
      <xdr:rowOff>103966</xdr:rowOff>
    </xdr:from>
    <xdr:to>
      <xdr:col>32</xdr:col>
      <xdr:colOff>398621</xdr:colOff>
      <xdr:row>114</xdr:row>
      <xdr:rowOff>139342</xdr:rowOff>
    </xdr:to>
    <xdr:sp macro="" textlink="ANALYSIS!M155">
      <xdr:nvSpPr>
        <xdr:cNvPr id="582" name="TextBox 581">
          <a:extLst>
            <a:ext uri="{FF2B5EF4-FFF2-40B4-BE49-F238E27FC236}">
              <a16:creationId xmlns:a16="http://schemas.microsoft.com/office/drawing/2014/main" id="{7EA96D9D-B453-48E9-A1AA-9FA1289BC46A}"/>
            </a:ext>
          </a:extLst>
        </xdr:cNvPr>
        <xdr:cNvSpPr txBox="1"/>
      </xdr:nvSpPr>
      <xdr:spPr>
        <a:xfrm>
          <a:off x="19208408" y="20537162"/>
          <a:ext cx="803430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EE3C848-703E-44BB-B23B-E6A7EAE99F7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62753</xdr:colOff>
      <xdr:row>114</xdr:row>
      <xdr:rowOff>139342</xdr:rowOff>
    </xdr:from>
    <xdr:to>
      <xdr:col>23</xdr:col>
      <xdr:colOff>359408</xdr:colOff>
      <xdr:row>116</xdr:row>
      <xdr:rowOff>178527</xdr:rowOff>
    </xdr:to>
    <xdr:sp macro="" textlink="">
      <xdr:nvSpPr>
        <xdr:cNvPr id="583" name="TextBox 582">
          <a:extLst>
            <a:ext uri="{FF2B5EF4-FFF2-40B4-BE49-F238E27FC236}">
              <a16:creationId xmlns:a16="http://schemas.microsoft.com/office/drawing/2014/main" id="{31A6FE02-7B3E-4DCD-859F-C4140CFF9844}"/>
            </a:ext>
          </a:extLst>
        </xdr:cNvPr>
        <xdr:cNvSpPr txBox="1"/>
      </xdr:nvSpPr>
      <xdr:spPr>
        <a:xfrm>
          <a:off x="13473953" y="20614730"/>
          <a:ext cx="906255" cy="39777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EST THROWIN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114</xdr:row>
      <xdr:rowOff>139342</xdr:rowOff>
    </xdr:from>
    <xdr:to>
      <xdr:col>24</xdr:col>
      <xdr:colOff>517540</xdr:colOff>
      <xdr:row>116</xdr:row>
      <xdr:rowOff>178527</xdr:rowOff>
    </xdr:to>
    <xdr:sp macro="" textlink="ANALYSIS!G156">
      <xdr:nvSpPr>
        <xdr:cNvPr id="584" name="TextBox 583">
          <a:extLst>
            <a:ext uri="{FF2B5EF4-FFF2-40B4-BE49-F238E27FC236}">
              <a16:creationId xmlns:a16="http://schemas.microsoft.com/office/drawing/2014/main" id="{17B80536-26A1-41DD-98C7-0206556CA83C}"/>
            </a:ext>
          </a:extLst>
        </xdr:cNvPr>
        <xdr:cNvSpPr txBox="1"/>
      </xdr:nvSpPr>
      <xdr:spPr>
        <a:xfrm>
          <a:off x="14456408" y="20936972"/>
          <a:ext cx="771045" cy="40362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0367554-E20C-41DF-9B22-C59BE2C6133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114</xdr:row>
      <xdr:rowOff>139342</xdr:rowOff>
    </xdr:from>
    <xdr:to>
      <xdr:col>26</xdr:col>
      <xdr:colOff>93239</xdr:colOff>
      <xdr:row>116</xdr:row>
      <xdr:rowOff>178527</xdr:rowOff>
    </xdr:to>
    <xdr:sp macro="" textlink="ANALYSIS!H156">
      <xdr:nvSpPr>
        <xdr:cNvPr id="585" name="TextBox 584">
          <a:extLst>
            <a:ext uri="{FF2B5EF4-FFF2-40B4-BE49-F238E27FC236}">
              <a16:creationId xmlns:a16="http://schemas.microsoft.com/office/drawing/2014/main" id="{F7B6CA79-E57A-49A6-911B-3DAF6EC8BAF6}"/>
            </a:ext>
          </a:extLst>
        </xdr:cNvPr>
        <xdr:cNvSpPr txBox="1"/>
      </xdr:nvSpPr>
      <xdr:spPr>
        <a:xfrm>
          <a:off x="15227453" y="20936972"/>
          <a:ext cx="801525" cy="40362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BF84247-4E33-4A20-98A1-80CCD6FF1C3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114</xdr:row>
      <xdr:rowOff>139342</xdr:rowOff>
    </xdr:from>
    <xdr:to>
      <xdr:col>27</xdr:col>
      <xdr:colOff>283756</xdr:colOff>
      <xdr:row>116</xdr:row>
      <xdr:rowOff>178527</xdr:rowOff>
    </xdr:to>
    <xdr:sp macro="" textlink="ANALYSIS!I156">
      <xdr:nvSpPr>
        <xdr:cNvPr id="586" name="TextBox 585">
          <a:extLst>
            <a:ext uri="{FF2B5EF4-FFF2-40B4-BE49-F238E27FC236}">
              <a16:creationId xmlns:a16="http://schemas.microsoft.com/office/drawing/2014/main" id="{D6B78AB3-5D93-4A53-8650-FA90C613D87C}"/>
            </a:ext>
          </a:extLst>
        </xdr:cNvPr>
        <xdr:cNvSpPr txBox="1"/>
      </xdr:nvSpPr>
      <xdr:spPr>
        <a:xfrm>
          <a:off x="16028978" y="20936972"/>
          <a:ext cx="803430" cy="40362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66A09C5-CC54-473D-A841-A9EBDC8CAE0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114</xdr:row>
      <xdr:rowOff>139342</xdr:rowOff>
    </xdr:from>
    <xdr:to>
      <xdr:col>28</xdr:col>
      <xdr:colOff>474273</xdr:colOff>
      <xdr:row>116</xdr:row>
      <xdr:rowOff>178527</xdr:rowOff>
    </xdr:to>
    <xdr:sp macro="" textlink="ANALYSIS!J156">
      <xdr:nvSpPr>
        <xdr:cNvPr id="587" name="TextBox 586">
          <a:extLst>
            <a:ext uri="{FF2B5EF4-FFF2-40B4-BE49-F238E27FC236}">
              <a16:creationId xmlns:a16="http://schemas.microsoft.com/office/drawing/2014/main" id="{9E20558C-0FC7-46C1-A03A-A775B043CF5F}"/>
            </a:ext>
          </a:extLst>
        </xdr:cNvPr>
        <xdr:cNvSpPr txBox="1"/>
      </xdr:nvSpPr>
      <xdr:spPr>
        <a:xfrm>
          <a:off x="16832408" y="20936972"/>
          <a:ext cx="803430" cy="40362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382D458-BE8B-4C5E-A646-2F613DBED66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114</xdr:row>
      <xdr:rowOff>139342</xdr:rowOff>
    </xdr:from>
    <xdr:to>
      <xdr:col>30</xdr:col>
      <xdr:colOff>19492</xdr:colOff>
      <xdr:row>116</xdr:row>
      <xdr:rowOff>178527</xdr:rowOff>
    </xdr:to>
    <xdr:sp macro="" textlink="ANALYSIS!K156">
      <xdr:nvSpPr>
        <xdr:cNvPr id="588" name="TextBox 587">
          <a:extLst>
            <a:ext uri="{FF2B5EF4-FFF2-40B4-BE49-F238E27FC236}">
              <a16:creationId xmlns:a16="http://schemas.microsoft.com/office/drawing/2014/main" id="{5076453A-5271-4A50-B76E-0F29AAF2B156}"/>
            </a:ext>
          </a:extLst>
        </xdr:cNvPr>
        <xdr:cNvSpPr txBox="1"/>
      </xdr:nvSpPr>
      <xdr:spPr>
        <a:xfrm>
          <a:off x="17635838" y="20936972"/>
          <a:ext cx="771045" cy="40362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87C6A7E-BC2C-4CA4-A685-4655F6E5423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114</xdr:row>
      <xdr:rowOff>139342</xdr:rowOff>
    </xdr:from>
    <xdr:to>
      <xdr:col>31</xdr:col>
      <xdr:colOff>208104</xdr:colOff>
      <xdr:row>116</xdr:row>
      <xdr:rowOff>178527</xdr:rowOff>
    </xdr:to>
    <xdr:sp macro="" textlink="ANALYSIS!L156">
      <xdr:nvSpPr>
        <xdr:cNvPr id="589" name="TextBox 588">
          <a:extLst>
            <a:ext uri="{FF2B5EF4-FFF2-40B4-BE49-F238E27FC236}">
              <a16:creationId xmlns:a16="http://schemas.microsoft.com/office/drawing/2014/main" id="{FDE2074A-2025-4565-B835-72A55FB9CBD9}"/>
            </a:ext>
          </a:extLst>
        </xdr:cNvPr>
        <xdr:cNvSpPr txBox="1"/>
      </xdr:nvSpPr>
      <xdr:spPr>
        <a:xfrm>
          <a:off x="18406883" y="20936972"/>
          <a:ext cx="801525" cy="40362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C70725F-B521-4E77-AC3C-251A83F45FD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114</xdr:row>
      <xdr:rowOff>139342</xdr:rowOff>
    </xdr:from>
    <xdr:to>
      <xdr:col>32</xdr:col>
      <xdr:colOff>398621</xdr:colOff>
      <xdr:row>116</xdr:row>
      <xdr:rowOff>178527</xdr:rowOff>
    </xdr:to>
    <xdr:sp macro="" textlink="ANALYSIS!M156">
      <xdr:nvSpPr>
        <xdr:cNvPr id="590" name="TextBox 589">
          <a:extLst>
            <a:ext uri="{FF2B5EF4-FFF2-40B4-BE49-F238E27FC236}">
              <a16:creationId xmlns:a16="http://schemas.microsoft.com/office/drawing/2014/main" id="{51221F4D-89BD-4BAC-8353-5C97704AF8E0}"/>
            </a:ext>
          </a:extLst>
        </xdr:cNvPr>
        <xdr:cNvSpPr txBox="1"/>
      </xdr:nvSpPr>
      <xdr:spPr>
        <a:xfrm>
          <a:off x="19208408" y="20936972"/>
          <a:ext cx="803430" cy="40362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5D186EB-BA4A-4BA7-9956-FE12A937ABB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62753</xdr:colOff>
      <xdr:row>116</xdr:row>
      <xdr:rowOff>178527</xdr:rowOff>
    </xdr:from>
    <xdr:to>
      <xdr:col>23</xdr:col>
      <xdr:colOff>359408</xdr:colOff>
      <xdr:row>119</xdr:row>
      <xdr:rowOff>24065</xdr:rowOff>
    </xdr:to>
    <xdr:sp macro="" textlink="">
      <xdr:nvSpPr>
        <xdr:cNvPr id="591" name="TextBox 590">
          <a:extLst>
            <a:ext uri="{FF2B5EF4-FFF2-40B4-BE49-F238E27FC236}">
              <a16:creationId xmlns:a16="http://schemas.microsoft.com/office/drawing/2014/main" id="{3BA50E27-1EFF-49F3-A979-1F5D5CCC77DD}"/>
            </a:ext>
          </a:extLst>
        </xdr:cNvPr>
        <xdr:cNvSpPr txBox="1"/>
      </xdr:nvSpPr>
      <xdr:spPr>
        <a:xfrm>
          <a:off x="13473953" y="21012503"/>
          <a:ext cx="906255" cy="38342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EST PENALTY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116</xdr:row>
      <xdr:rowOff>178527</xdr:rowOff>
    </xdr:from>
    <xdr:to>
      <xdr:col>24</xdr:col>
      <xdr:colOff>517540</xdr:colOff>
      <xdr:row>119</xdr:row>
      <xdr:rowOff>24065</xdr:rowOff>
    </xdr:to>
    <xdr:sp macro="" textlink="ANALYSIS!G157">
      <xdr:nvSpPr>
        <xdr:cNvPr id="592" name="TextBox 591">
          <a:extLst>
            <a:ext uri="{FF2B5EF4-FFF2-40B4-BE49-F238E27FC236}">
              <a16:creationId xmlns:a16="http://schemas.microsoft.com/office/drawing/2014/main" id="{09688D04-A671-4122-8DE3-29EAE29C3909}"/>
            </a:ext>
          </a:extLst>
        </xdr:cNvPr>
        <xdr:cNvSpPr txBox="1"/>
      </xdr:nvSpPr>
      <xdr:spPr>
        <a:xfrm>
          <a:off x="14456408" y="21340592"/>
          <a:ext cx="77104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039E0DF-225D-4C3C-8D58-82F7D6548D9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116</xdr:row>
      <xdr:rowOff>178527</xdr:rowOff>
    </xdr:from>
    <xdr:to>
      <xdr:col>26</xdr:col>
      <xdr:colOff>93239</xdr:colOff>
      <xdr:row>119</xdr:row>
      <xdr:rowOff>24065</xdr:rowOff>
    </xdr:to>
    <xdr:sp macro="" textlink="ANALYSIS!H157">
      <xdr:nvSpPr>
        <xdr:cNvPr id="593" name="TextBox 592">
          <a:extLst>
            <a:ext uri="{FF2B5EF4-FFF2-40B4-BE49-F238E27FC236}">
              <a16:creationId xmlns:a16="http://schemas.microsoft.com/office/drawing/2014/main" id="{D11B0B08-1D0A-4595-AC7F-A831FF973304}"/>
            </a:ext>
          </a:extLst>
        </xdr:cNvPr>
        <xdr:cNvSpPr txBox="1"/>
      </xdr:nvSpPr>
      <xdr:spPr>
        <a:xfrm>
          <a:off x="15227453" y="21340592"/>
          <a:ext cx="80152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C04C209-6BAB-4D20-BA1C-779588F109E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116</xdr:row>
      <xdr:rowOff>178527</xdr:rowOff>
    </xdr:from>
    <xdr:to>
      <xdr:col>27</xdr:col>
      <xdr:colOff>283756</xdr:colOff>
      <xdr:row>119</xdr:row>
      <xdr:rowOff>24065</xdr:rowOff>
    </xdr:to>
    <xdr:sp macro="" textlink="ANALYSIS!I157">
      <xdr:nvSpPr>
        <xdr:cNvPr id="594" name="TextBox 593">
          <a:extLst>
            <a:ext uri="{FF2B5EF4-FFF2-40B4-BE49-F238E27FC236}">
              <a16:creationId xmlns:a16="http://schemas.microsoft.com/office/drawing/2014/main" id="{4FD0D1E8-1546-4A66-A598-AFB34EFC59F9}"/>
            </a:ext>
          </a:extLst>
        </xdr:cNvPr>
        <xdr:cNvSpPr txBox="1"/>
      </xdr:nvSpPr>
      <xdr:spPr>
        <a:xfrm>
          <a:off x="16028978" y="21340592"/>
          <a:ext cx="803430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7E54525-AF1D-49A5-BE98-D3AD616548D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116</xdr:row>
      <xdr:rowOff>178527</xdr:rowOff>
    </xdr:from>
    <xdr:to>
      <xdr:col>28</xdr:col>
      <xdr:colOff>474273</xdr:colOff>
      <xdr:row>119</xdr:row>
      <xdr:rowOff>24065</xdr:rowOff>
    </xdr:to>
    <xdr:sp macro="" textlink="ANALYSIS!J157">
      <xdr:nvSpPr>
        <xdr:cNvPr id="595" name="TextBox 594">
          <a:extLst>
            <a:ext uri="{FF2B5EF4-FFF2-40B4-BE49-F238E27FC236}">
              <a16:creationId xmlns:a16="http://schemas.microsoft.com/office/drawing/2014/main" id="{41B7628B-7EB8-40EE-9728-8A1226765D0E}"/>
            </a:ext>
          </a:extLst>
        </xdr:cNvPr>
        <xdr:cNvSpPr txBox="1"/>
      </xdr:nvSpPr>
      <xdr:spPr>
        <a:xfrm>
          <a:off x="16832408" y="21340592"/>
          <a:ext cx="803430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23199F4-8529-453B-8C51-8CFB16C5435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116</xdr:row>
      <xdr:rowOff>178527</xdr:rowOff>
    </xdr:from>
    <xdr:to>
      <xdr:col>30</xdr:col>
      <xdr:colOff>19492</xdr:colOff>
      <xdr:row>119</xdr:row>
      <xdr:rowOff>24065</xdr:rowOff>
    </xdr:to>
    <xdr:sp macro="" textlink="ANALYSIS!K157">
      <xdr:nvSpPr>
        <xdr:cNvPr id="596" name="TextBox 595">
          <a:extLst>
            <a:ext uri="{FF2B5EF4-FFF2-40B4-BE49-F238E27FC236}">
              <a16:creationId xmlns:a16="http://schemas.microsoft.com/office/drawing/2014/main" id="{AE7B38FF-DB9F-43E2-97A6-E98019BE7D69}"/>
            </a:ext>
          </a:extLst>
        </xdr:cNvPr>
        <xdr:cNvSpPr txBox="1"/>
      </xdr:nvSpPr>
      <xdr:spPr>
        <a:xfrm>
          <a:off x="17635838" y="21340592"/>
          <a:ext cx="77104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0D29DD7-D70E-49D1-B177-1B07DFA480F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116</xdr:row>
      <xdr:rowOff>178527</xdr:rowOff>
    </xdr:from>
    <xdr:to>
      <xdr:col>31</xdr:col>
      <xdr:colOff>208104</xdr:colOff>
      <xdr:row>119</xdr:row>
      <xdr:rowOff>24065</xdr:rowOff>
    </xdr:to>
    <xdr:sp macro="" textlink="ANALYSIS!L157">
      <xdr:nvSpPr>
        <xdr:cNvPr id="597" name="TextBox 596">
          <a:extLst>
            <a:ext uri="{FF2B5EF4-FFF2-40B4-BE49-F238E27FC236}">
              <a16:creationId xmlns:a16="http://schemas.microsoft.com/office/drawing/2014/main" id="{816A8F0E-2567-45B0-81E5-025D66F493E3}"/>
            </a:ext>
          </a:extLst>
        </xdr:cNvPr>
        <xdr:cNvSpPr txBox="1"/>
      </xdr:nvSpPr>
      <xdr:spPr>
        <a:xfrm>
          <a:off x="18406883" y="21340592"/>
          <a:ext cx="80152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F18A12F-1FE1-4D0A-9960-72BA3A5C21E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116</xdr:row>
      <xdr:rowOff>178527</xdr:rowOff>
    </xdr:from>
    <xdr:to>
      <xdr:col>32</xdr:col>
      <xdr:colOff>398621</xdr:colOff>
      <xdr:row>119</xdr:row>
      <xdr:rowOff>24065</xdr:rowOff>
    </xdr:to>
    <xdr:sp macro="" textlink="ANALYSIS!M157">
      <xdr:nvSpPr>
        <xdr:cNvPr id="598" name="TextBox 597">
          <a:extLst>
            <a:ext uri="{FF2B5EF4-FFF2-40B4-BE49-F238E27FC236}">
              <a16:creationId xmlns:a16="http://schemas.microsoft.com/office/drawing/2014/main" id="{147325AE-4FF5-4B72-AC7D-42E7B7378C12}"/>
            </a:ext>
          </a:extLst>
        </xdr:cNvPr>
        <xdr:cNvSpPr txBox="1"/>
      </xdr:nvSpPr>
      <xdr:spPr>
        <a:xfrm>
          <a:off x="19208408" y="21340592"/>
          <a:ext cx="803430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DFF1CF3-B557-4BC0-A4DA-183AB2BB045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62753</xdr:colOff>
      <xdr:row>119</xdr:row>
      <xdr:rowOff>24065</xdr:rowOff>
    </xdr:from>
    <xdr:to>
      <xdr:col>23</xdr:col>
      <xdr:colOff>359408</xdr:colOff>
      <xdr:row>121</xdr:row>
      <xdr:rowOff>68965</xdr:rowOff>
    </xdr:to>
    <xdr:sp macro="" textlink="">
      <xdr:nvSpPr>
        <xdr:cNvPr id="599" name="TextBox 598">
          <a:extLst>
            <a:ext uri="{FF2B5EF4-FFF2-40B4-BE49-F238E27FC236}">
              <a16:creationId xmlns:a16="http://schemas.microsoft.com/office/drawing/2014/main" id="{663BB896-E344-47BF-8B3B-9BCF3350A296}"/>
            </a:ext>
          </a:extLst>
        </xdr:cNvPr>
        <xdr:cNvSpPr txBox="1"/>
      </xdr:nvSpPr>
      <xdr:spPr>
        <a:xfrm>
          <a:off x="13473953" y="21395924"/>
          <a:ext cx="906255" cy="40348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OPP CORNER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119</xdr:row>
      <xdr:rowOff>24065</xdr:rowOff>
    </xdr:from>
    <xdr:to>
      <xdr:col>24</xdr:col>
      <xdr:colOff>517540</xdr:colOff>
      <xdr:row>121</xdr:row>
      <xdr:rowOff>68965</xdr:rowOff>
    </xdr:to>
    <xdr:sp macro="" textlink="ANALYSIS!G158">
      <xdr:nvSpPr>
        <xdr:cNvPr id="600" name="TextBox 599">
          <a:extLst>
            <a:ext uri="{FF2B5EF4-FFF2-40B4-BE49-F238E27FC236}">
              <a16:creationId xmlns:a16="http://schemas.microsoft.com/office/drawing/2014/main" id="{E056266E-BFB1-4D6C-9671-02441010C85E}"/>
            </a:ext>
          </a:extLst>
        </xdr:cNvPr>
        <xdr:cNvSpPr txBox="1"/>
      </xdr:nvSpPr>
      <xdr:spPr>
        <a:xfrm>
          <a:off x="14456408" y="21732782"/>
          <a:ext cx="771045" cy="40933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BEF4EE3-B93F-4431-AA73-B1828B7F2F3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119</xdr:row>
      <xdr:rowOff>24065</xdr:rowOff>
    </xdr:from>
    <xdr:to>
      <xdr:col>26</xdr:col>
      <xdr:colOff>93239</xdr:colOff>
      <xdr:row>121</xdr:row>
      <xdr:rowOff>68965</xdr:rowOff>
    </xdr:to>
    <xdr:sp macro="" textlink="ANALYSIS!H158">
      <xdr:nvSpPr>
        <xdr:cNvPr id="601" name="TextBox 600">
          <a:extLst>
            <a:ext uri="{FF2B5EF4-FFF2-40B4-BE49-F238E27FC236}">
              <a16:creationId xmlns:a16="http://schemas.microsoft.com/office/drawing/2014/main" id="{C3AFA300-BCED-42E8-94AB-220E9E651644}"/>
            </a:ext>
          </a:extLst>
        </xdr:cNvPr>
        <xdr:cNvSpPr txBox="1"/>
      </xdr:nvSpPr>
      <xdr:spPr>
        <a:xfrm>
          <a:off x="15227453" y="21732782"/>
          <a:ext cx="801525" cy="40933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0A62C40-3D1D-4E06-9387-05155E7E94C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119</xdr:row>
      <xdr:rowOff>24065</xdr:rowOff>
    </xdr:from>
    <xdr:to>
      <xdr:col>27</xdr:col>
      <xdr:colOff>283756</xdr:colOff>
      <xdr:row>121</xdr:row>
      <xdr:rowOff>68965</xdr:rowOff>
    </xdr:to>
    <xdr:sp macro="" textlink="ANALYSIS!I158">
      <xdr:nvSpPr>
        <xdr:cNvPr id="602" name="TextBox 601">
          <a:extLst>
            <a:ext uri="{FF2B5EF4-FFF2-40B4-BE49-F238E27FC236}">
              <a16:creationId xmlns:a16="http://schemas.microsoft.com/office/drawing/2014/main" id="{B40E9B89-14C4-4D8C-BA8A-119F24B3D94C}"/>
            </a:ext>
          </a:extLst>
        </xdr:cNvPr>
        <xdr:cNvSpPr txBox="1"/>
      </xdr:nvSpPr>
      <xdr:spPr>
        <a:xfrm>
          <a:off x="16028978" y="21732782"/>
          <a:ext cx="803430" cy="40933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DF7828D-5CD5-4FAB-910B-B376A0AF781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119</xdr:row>
      <xdr:rowOff>24065</xdr:rowOff>
    </xdr:from>
    <xdr:to>
      <xdr:col>28</xdr:col>
      <xdr:colOff>474273</xdr:colOff>
      <xdr:row>121</xdr:row>
      <xdr:rowOff>68965</xdr:rowOff>
    </xdr:to>
    <xdr:sp macro="" textlink="ANALYSIS!J158">
      <xdr:nvSpPr>
        <xdr:cNvPr id="603" name="TextBox 602">
          <a:extLst>
            <a:ext uri="{FF2B5EF4-FFF2-40B4-BE49-F238E27FC236}">
              <a16:creationId xmlns:a16="http://schemas.microsoft.com/office/drawing/2014/main" id="{392C8766-1C82-4E21-8740-AD3640D33D70}"/>
            </a:ext>
          </a:extLst>
        </xdr:cNvPr>
        <xdr:cNvSpPr txBox="1"/>
      </xdr:nvSpPr>
      <xdr:spPr>
        <a:xfrm>
          <a:off x="16832408" y="21732782"/>
          <a:ext cx="803430" cy="40933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FABFB4E-7AEE-4D16-A9AE-65FBF3DABF2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119</xdr:row>
      <xdr:rowOff>24065</xdr:rowOff>
    </xdr:from>
    <xdr:to>
      <xdr:col>30</xdr:col>
      <xdr:colOff>19492</xdr:colOff>
      <xdr:row>121</xdr:row>
      <xdr:rowOff>68965</xdr:rowOff>
    </xdr:to>
    <xdr:sp macro="" textlink="ANALYSIS!K158">
      <xdr:nvSpPr>
        <xdr:cNvPr id="604" name="TextBox 603">
          <a:extLst>
            <a:ext uri="{FF2B5EF4-FFF2-40B4-BE49-F238E27FC236}">
              <a16:creationId xmlns:a16="http://schemas.microsoft.com/office/drawing/2014/main" id="{8811579F-601E-48A7-AF2B-BDD95362D42D}"/>
            </a:ext>
          </a:extLst>
        </xdr:cNvPr>
        <xdr:cNvSpPr txBox="1"/>
      </xdr:nvSpPr>
      <xdr:spPr>
        <a:xfrm>
          <a:off x="17635838" y="21732782"/>
          <a:ext cx="771045" cy="40933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AEA4F8E-5331-42B1-B77E-FB6B5D2ADDC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119</xdr:row>
      <xdr:rowOff>24065</xdr:rowOff>
    </xdr:from>
    <xdr:to>
      <xdr:col>31</xdr:col>
      <xdr:colOff>208104</xdr:colOff>
      <xdr:row>121</xdr:row>
      <xdr:rowOff>68965</xdr:rowOff>
    </xdr:to>
    <xdr:sp macro="" textlink="ANALYSIS!L158">
      <xdr:nvSpPr>
        <xdr:cNvPr id="605" name="TextBox 604">
          <a:extLst>
            <a:ext uri="{FF2B5EF4-FFF2-40B4-BE49-F238E27FC236}">
              <a16:creationId xmlns:a16="http://schemas.microsoft.com/office/drawing/2014/main" id="{3AFFC176-4743-4F52-A00F-0F903EB09FEF}"/>
            </a:ext>
          </a:extLst>
        </xdr:cNvPr>
        <xdr:cNvSpPr txBox="1"/>
      </xdr:nvSpPr>
      <xdr:spPr>
        <a:xfrm>
          <a:off x="18406883" y="21732782"/>
          <a:ext cx="801525" cy="40933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9873DAC-D5F9-489B-A00D-1243116692D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119</xdr:row>
      <xdr:rowOff>24065</xdr:rowOff>
    </xdr:from>
    <xdr:to>
      <xdr:col>32</xdr:col>
      <xdr:colOff>398621</xdr:colOff>
      <xdr:row>121</xdr:row>
      <xdr:rowOff>68965</xdr:rowOff>
    </xdr:to>
    <xdr:sp macro="" textlink="ANALYSIS!M158">
      <xdr:nvSpPr>
        <xdr:cNvPr id="606" name="TextBox 605">
          <a:extLst>
            <a:ext uri="{FF2B5EF4-FFF2-40B4-BE49-F238E27FC236}">
              <a16:creationId xmlns:a16="http://schemas.microsoft.com/office/drawing/2014/main" id="{B6392756-A79D-4790-AB9E-DC163101456F}"/>
            </a:ext>
          </a:extLst>
        </xdr:cNvPr>
        <xdr:cNvSpPr txBox="1"/>
      </xdr:nvSpPr>
      <xdr:spPr>
        <a:xfrm>
          <a:off x="19208408" y="21732782"/>
          <a:ext cx="803430" cy="40933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FECA0A4-CE3A-4A1C-9B1C-160B113B12A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62753</xdr:colOff>
      <xdr:row>121</xdr:row>
      <xdr:rowOff>68965</xdr:rowOff>
    </xdr:from>
    <xdr:to>
      <xdr:col>23</xdr:col>
      <xdr:colOff>359408</xdr:colOff>
      <xdr:row>123</xdr:row>
      <xdr:rowOff>94815</xdr:rowOff>
    </xdr:to>
    <xdr:sp macro="" textlink="">
      <xdr:nvSpPr>
        <xdr:cNvPr id="607" name="TextBox 606">
          <a:extLst>
            <a:ext uri="{FF2B5EF4-FFF2-40B4-BE49-F238E27FC236}">
              <a16:creationId xmlns:a16="http://schemas.microsoft.com/office/drawing/2014/main" id="{16AAB7AB-BC11-4A4D-AD6B-21496FB6EBFE}"/>
            </a:ext>
          </a:extLst>
        </xdr:cNvPr>
        <xdr:cNvSpPr txBox="1"/>
      </xdr:nvSpPr>
      <xdr:spPr>
        <a:xfrm>
          <a:off x="13473953" y="21799412"/>
          <a:ext cx="906255" cy="384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OPP FREEKICK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121</xdr:row>
      <xdr:rowOff>68965</xdr:rowOff>
    </xdr:from>
    <xdr:to>
      <xdr:col>24</xdr:col>
      <xdr:colOff>517540</xdr:colOff>
      <xdr:row>123</xdr:row>
      <xdr:rowOff>94815</xdr:rowOff>
    </xdr:to>
    <xdr:sp macro="" textlink="ANALYSIS!G159">
      <xdr:nvSpPr>
        <xdr:cNvPr id="608" name="TextBox 607">
          <a:extLst>
            <a:ext uri="{FF2B5EF4-FFF2-40B4-BE49-F238E27FC236}">
              <a16:creationId xmlns:a16="http://schemas.microsoft.com/office/drawing/2014/main" id="{7968D632-8020-44C4-9EF6-03D5965D23ED}"/>
            </a:ext>
          </a:extLst>
        </xdr:cNvPr>
        <xdr:cNvSpPr txBox="1"/>
      </xdr:nvSpPr>
      <xdr:spPr>
        <a:xfrm>
          <a:off x="14456408" y="22142117"/>
          <a:ext cx="771045" cy="39028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17D7EB9-7E1A-4863-9EA1-A83E34E5EAC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121</xdr:row>
      <xdr:rowOff>68965</xdr:rowOff>
    </xdr:from>
    <xdr:to>
      <xdr:col>26</xdr:col>
      <xdr:colOff>93239</xdr:colOff>
      <xdr:row>123</xdr:row>
      <xdr:rowOff>94815</xdr:rowOff>
    </xdr:to>
    <xdr:sp macro="" textlink="ANALYSIS!H159">
      <xdr:nvSpPr>
        <xdr:cNvPr id="609" name="TextBox 608">
          <a:extLst>
            <a:ext uri="{FF2B5EF4-FFF2-40B4-BE49-F238E27FC236}">
              <a16:creationId xmlns:a16="http://schemas.microsoft.com/office/drawing/2014/main" id="{EF53DCC3-2CC1-44F7-984D-6C06461FD073}"/>
            </a:ext>
          </a:extLst>
        </xdr:cNvPr>
        <xdr:cNvSpPr txBox="1"/>
      </xdr:nvSpPr>
      <xdr:spPr>
        <a:xfrm>
          <a:off x="15227453" y="22142117"/>
          <a:ext cx="801525" cy="39028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9447091-640B-467C-AB54-79874E88BB4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121</xdr:row>
      <xdr:rowOff>68965</xdr:rowOff>
    </xdr:from>
    <xdr:to>
      <xdr:col>27</xdr:col>
      <xdr:colOff>283756</xdr:colOff>
      <xdr:row>123</xdr:row>
      <xdr:rowOff>94815</xdr:rowOff>
    </xdr:to>
    <xdr:sp macro="" textlink="ANALYSIS!I159">
      <xdr:nvSpPr>
        <xdr:cNvPr id="610" name="TextBox 609">
          <a:extLst>
            <a:ext uri="{FF2B5EF4-FFF2-40B4-BE49-F238E27FC236}">
              <a16:creationId xmlns:a16="http://schemas.microsoft.com/office/drawing/2014/main" id="{479145EB-FCDB-4078-8CA6-596FC5E738FD}"/>
            </a:ext>
          </a:extLst>
        </xdr:cNvPr>
        <xdr:cNvSpPr txBox="1"/>
      </xdr:nvSpPr>
      <xdr:spPr>
        <a:xfrm>
          <a:off x="16028978" y="22142117"/>
          <a:ext cx="803430" cy="39028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4C7AFE5-CFAB-48F1-B49B-7677FA6DE68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121</xdr:row>
      <xdr:rowOff>68965</xdr:rowOff>
    </xdr:from>
    <xdr:to>
      <xdr:col>28</xdr:col>
      <xdr:colOff>474273</xdr:colOff>
      <xdr:row>123</xdr:row>
      <xdr:rowOff>94815</xdr:rowOff>
    </xdr:to>
    <xdr:sp macro="" textlink="ANALYSIS!J159">
      <xdr:nvSpPr>
        <xdr:cNvPr id="611" name="TextBox 610">
          <a:extLst>
            <a:ext uri="{FF2B5EF4-FFF2-40B4-BE49-F238E27FC236}">
              <a16:creationId xmlns:a16="http://schemas.microsoft.com/office/drawing/2014/main" id="{A02D9C7C-65B0-45CD-ACC9-3207B843EC75}"/>
            </a:ext>
          </a:extLst>
        </xdr:cNvPr>
        <xdr:cNvSpPr txBox="1"/>
      </xdr:nvSpPr>
      <xdr:spPr>
        <a:xfrm>
          <a:off x="16832408" y="22142117"/>
          <a:ext cx="803430" cy="39028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F89A6ED-4D14-41F3-8C9E-4A401D35CD7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121</xdr:row>
      <xdr:rowOff>68965</xdr:rowOff>
    </xdr:from>
    <xdr:to>
      <xdr:col>30</xdr:col>
      <xdr:colOff>19492</xdr:colOff>
      <xdr:row>123</xdr:row>
      <xdr:rowOff>94815</xdr:rowOff>
    </xdr:to>
    <xdr:sp macro="" textlink="ANALYSIS!K159">
      <xdr:nvSpPr>
        <xdr:cNvPr id="612" name="TextBox 611">
          <a:extLst>
            <a:ext uri="{FF2B5EF4-FFF2-40B4-BE49-F238E27FC236}">
              <a16:creationId xmlns:a16="http://schemas.microsoft.com/office/drawing/2014/main" id="{95B30C83-48A3-45A7-ABE8-FF0B0708FB58}"/>
            </a:ext>
          </a:extLst>
        </xdr:cNvPr>
        <xdr:cNvSpPr txBox="1"/>
      </xdr:nvSpPr>
      <xdr:spPr>
        <a:xfrm>
          <a:off x="17635838" y="22142117"/>
          <a:ext cx="771045" cy="39028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BD6DC28-4950-4587-A4A3-204C7CE5D4C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121</xdr:row>
      <xdr:rowOff>68965</xdr:rowOff>
    </xdr:from>
    <xdr:to>
      <xdr:col>31</xdr:col>
      <xdr:colOff>208104</xdr:colOff>
      <xdr:row>123</xdr:row>
      <xdr:rowOff>94815</xdr:rowOff>
    </xdr:to>
    <xdr:sp macro="" textlink="ANALYSIS!L159">
      <xdr:nvSpPr>
        <xdr:cNvPr id="613" name="TextBox 612">
          <a:extLst>
            <a:ext uri="{FF2B5EF4-FFF2-40B4-BE49-F238E27FC236}">
              <a16:creationId xmlns:a16="http://schemas.microsoft.com/office/drawing/2014/main" id="{B39CAB1B-5E0B-4113-B1E5-D1D38468D036}"/>
            </a:ext>
          </a:extLst>
        </xdr:cNvPr>
        <xdr:cNvSpPr txBox="1"/>
      </xdr:nvSpPr>
      <xdr:spPr>
        <a:xfrm>
          <a:off x="18406883" y="22142117"/>
          <a:ext cx="801525" cy="39028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0D7D495-7938-4467-AA6A-D507A28DFA9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121</xdr:row>
      <xdr:rowOff>68965</xdr:rowOff>
    </xdr:from>
    <xdr:to>
      <xdr:col>32</xdr:col>
      <xdr:colOff>398621</xdr:colOff>
      <xdr:row>123</xdr:row>
      <xdr:rowOff>94815</xdr:rowOff>
    </xdr:to>
    <xdr:sp macro="" textlink="ANALYSIS!M159">
      <xdr:nvSpPr>
        <xdr:cNvPr id="614" name="TextBox 613">
          <a:extLst>
            <a:ext uri="{FF2B5EF4-FFF2-40B4-BE49-F238E27FC236}">
              <a16:creationId xmlns:a16="http://schemas.microsoft.com/office/drawing/2014/main" id="{A120DD84-F355-4F3A-A016-A5C3AE77A669}"/>
            </a:ext>
          </a:extLst>
        </xdr:cNvPr>
        <xdr:cNvSpPr txBox="1"/>
      </xdr:nvSpPr>
      <xdr:spPr>
        <a:xfrm>
          <a:off x="19208408" y="22142117"/>
          <a:ext cx="803430" cy="39028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564A760-8EA2-413E-8601-7B306599BFB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62753</xdr:colOff>
      <xdr:row>123</xdr:row>
      <xdr:rowOff>94815</xdr:rowOff>
    </xdr:from>
    <xdr:to>
      <xdr:col>23</xdr:col>
      <xdr:colOff>359408</xdr:colOff>
      <xdr:row>125</xdr:row>
      <xdr:rowOff>107330</xdr:rowOff>
    </xdr:to>
    <xdr:sp macro="" textlink="">
      <xdr:nvSpPr>
        <xdr:cNvPr id="615" name="TextBox 614">
          <a:extLst>
            <a:ext uri="{FF2B5EF4-FFF2-40B4-BE49-F238E27FC236}">
              <a16:creationId xmlns:a16="http://schemas.microsoft.com/office/drawing/2014/main" id="{4E1CED7A-D6AB-4908-A0A2-65875C61D33D}"/>
            </a:ext>
          </a:extLst>
        </xdr:cNvPr>
        <xdr:cNvSpPr txBox="1"/>
      </xdr:nvSpPr>
      <xdr:spPr>
        <a:xfrm>
          <a:off x="13473953" y="22183850"/>
          <a:ext cx="906255" cy="3711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OPP THROWIN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123</xdr:row>
      <xdr:rowOff>94815</xdr:rowOff>
    </xdr:from>
    <xdr:to>
      <xdr:col>24</xdr:col>
      <xdr:colOff>517540</xdr:colOff>
      <xdr:row>125</xdr:row>
      <xdr:rowOff>107330</xdr:rowOff>
    </xdr:to>
    <xdr:sp macro="" textlink="ANALYSIS!G160">
      <xdr:nvSpPr>
        <xdr:cNvPr id="616" name="TextBox 615">
          <a:extLst>
            <a:ext uri="{FF2B5EF4-FFF2-40B4-BE49-F238E27FC236}">
              <a16:creationId xmlns:a16="http://schemas.microsoft.com/office/drawing/2014/main" id="{2C1EFCFE-C032-4ED6-A808-94749000BB03}"/>
            </a:ext>
          </a:extLst>
        </xdr:cNvPr>
        <xdr:cNvSpPr txBox="1"/>
      </xdr:nvSpPr>
      <xdr:spPr>
        <a:xfrm>
          <a:off x="14456408" y="22532402"/>
          <a:ext cx="771045" cy="37695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A8E9D95-C891-449C-B480-624B51C2273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123</xdr:row>
      <xdr:rowOff>94815</xdr:rowOff>
    </xdr:from>
    <xdr:to>
      <xdr:col>26</xdr:col>
      <xdr:colOff>93239</xdr:colOff>
      <xdr:row>125</xdr:row>
      <xdr:rowOff>107330</xdr:rowOff>
    </xdr:to>
    <xdr:sp macro="" textlink="ANALYSIS!H160">
      <xdr:nvSpPr>
        <xdr:cNvPr id="617" name="TextBox 616">
          <a:extLst>
            <a:ext uri="{FF2B5EF4-FFF2-40B4-BE49-F238E27FC236}">
              <a16:creationId xmlns:a16="http://schemas.microsoft.com/office/drawing/2014/main" id="{2A852523-3044-4997-ACE7-820022C6438D}"/>
            </a:ext>
          </a:extLst>
        </xdr:cNvPr>
        <xdr:cNvSpPr txBox="1"/>
      </xdr:nvSpPr>
      <xdr:spPr>
        <a:xfrm>
          <a:off x="15227453" y="22532402"/>
          <a:ext cx="801525" cy="37695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844D2F3-3D9B-48BC-8AFF-EBD650F0BB8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123</xdr:row>
      <xdr:rowOff>94815</xdr:rowOff>
    </xdr:from>
    <xdr:to>
      <xdr:col>27</xdr:col>
      <xdr:colOff>283756</xdr:colOff>
      <xdr:row>125</xdr:row>
      <xdr:rowOff>107330</xdr:rowOff>
    </xdr:to>
    <xdr:sp macro="" textlink="ANALYSIS!I160">
      <xdr:nvSpPr>
        <xdr:cNvPr id="618" name="TextBox 617">
          <a:extLst>
            <a:ext uri="{FF2B5EF4-FFF2-40B4-BE49-F238E27FC236}">
              <a16:creationId xmlns:a16="http://schemas.microsoft.com/office/drawing/2014/main" id="{F065D8EE-B6B6-4F31-9ED9-730D55803F2E}"/>
            </a:ext>
          </a:extLst>
        </xdr:cNvPr>
        <xdr:cNvSpPr txBox="1"/>
      </xdr:nvSpPr>
      <xdr:spPr>
        <a:xfrm>
          <a:off x="16028978" y="22532402"/>
          <a:ext cx="803430" cy="37695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4C883D5-1341-4429-8E32-471CACC5160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123</xdr:row>
      <xdr:rowOff>94815</xdr:rowOff>
    </xdr:from>
    <xdr:to>
      <xdr:col>28</xdr:col>
      <xdr:colOff>474273</xdr:colOff>
      <xdr:row>125</xdr:row>
      <xdr:rowOff>107330</xdr:rowOff>
    </xdr:to>
    <xdr:sp macro="" textlink="ANALYSIS!J160">
      <xdr:nvSpPr>
        <xdr:cNvPr id="619" name="TextBox 618">
          <a:extLst>
            <a:ext uri="{FF2B5EF4-FFF2-40B4-BE49-F238E27FC236}">
              <a16:creationId xmlns:a16="http://schemas.microsoft.com/office/drawing/2014/main" id="{542BD00E-40D9-4A7D-B66B-E6A992F7E6AC}"/>
            </a:ext>
          </a:extLst>
        </xdr:cNvPr>
        <xdr:cNvSpPr txBox="1"/>
      </xdr:nvSpPr>
      <xdr:spPr>
        <a:xfrm>
          <a:off x="16832408" y="22532402"/>
          <a:ext cx="803430" cy="37695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EA135C2-E43C-414E-966D-B92CF733663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123</xdr:row>
      <xdr:rowOff>94815</xdr:rowOff>
    </xdr:from>
    <xdr:to>
      <xdr:col>30</xdr:col>
      <xdr:colOff>19492</xdr:colOff>
      <xdr:row>125</xdr:row>
      <xdr:rowOff>107330</xdr:rowOff>
    </xdr:to>
    <xdr:sp macro="" textlink="ANALYSIS!K160">
      <xdr:nvSpPr>
        <xdr:cNvPr id="620" name="TextBox 619">
          <a:extLst>
            <a:ext uri="{FF2B5EF4-FFF2-40B4-BE49-F238E27FC236}">
              <a16:creationId xmlns:a16="http://schemas.microsoft.com/office/drawing/2014/main" id="{345862C9-6266-43CD-A7F4-4275B2CEF3C0}"/>
            </a:ext>
          </a:extLst>
        </xdr:cNvPr>
        <xdr:cNvSpPr txBox="1"/>
      </xdr:nvSpPr>
      <xdr:spPr>
        <a:xfrm>
          <a:off x="17635838" y="22532402"/>
          <a:ext cx="771045" cy="37695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7F788AE-E0E2-490B-9F0F-50FCCDCFB12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123</xdr:row>
      <xdr:rowOff>94815</xdr:rowOff>
    </xdr:from>
    <xdr:to>
      <xdr:col>31</xdr:col>
      <xdr:colOff>208104</xdr:colOff>
      <xdr:row>125</xdr:row>
      <xdr:rowOff>107330</xdr:rowOff>
    </xdr:to>
    <xdr:sp macro="" textlink="ANALYSIS!L160">
      <xdr:nvSpPr>
        <xdr:cNvPr id="621" name="TextBox 620">
          <a:extLst>
            <a:ext uri="{FF2B5EF4-FFF2-40B4-BE49-F238E27FC236}">
              <a16:creationId xmlns:a16="http://schemas.microsoft.com/office/drawing/2014/main" id="{40B309A1-3E91-40A2-9333-F0A0958E798A}"/>
            </a:ext>
          </a:extLst>
        </xdr:cNvPr>
        <xdr:cNvSpPr txBox="1"/>
      </xdr:nvSpPr>
      <xdr:spPr>
        <a:xfrm>
          <a:off x="18406883" y="22532402"/>
          <a:ext cx="801525" cy="37695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0CC26C9-6405-40F3-B48D-C9AEE86C0A7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123</xdr:row>
      <xdr:rowOff>94815</xdr:rowOff>
    </xdr:from>
    <xdr:to>
      <xdr:col>32</xdr:col>
      <xdr:colOff>398621</xdr:colOff>
      <xdr:row>125</xdr:row>
      <xdr:rowOff>107330</xdr:rowOff>
    </xdr:to>
    <xdr:sp macro="" textlink="ANALYSIS!M160">
      <xdr:nvSpPr>
        <xdr:cNvPr id="622" name="TextBox 621">
          <a:extLst>
            <a:ext uri="{FF2B5EF4-FFF2-40B4-BE49-F238E27FC236}">
              <a16:creationId xmlns:a16="http://schemas.microsoft.com/office/drawing/2014/main" id="{CB26EF3F-986E-4E79-B2C4-85CF694A397E}"/>
            </a:ext>
          </a:extLst>
        </xdr:cNvPr>
        <xdr:cNvSpPr txBox="1"/>
      </xdr:nvSpPr>
      <xdr:spPr>
        <a:xfrm>
          <a:off x="19208408" y="22532402"/>
          <a:ext cx="803430" cy="37695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729B887-2451-4AEE-BF1D-A91BFC89DD2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22</xdr:col>
      <xdr:colOff>62753</xdr:colOff>
      <xdr:row>125</xdr:row>
      <xdr:rowOff>107330</xdr:rowOff>
    </xdr:from>
    <xdr:to>
      <xdr:col>23</xdr:col>
      <xdr:colOff>359408</xdr:colOff>
      <xdr:row>127</xdr:row>
      <xdr:rowOff>142705</xdr:rowOff>
    </xdr:to>
    <xdr:sp macro="" textlink="">
      <xdr:nvSpPr>
        <xdr:cNvPr id="623" name="TextBox 622">
          <a:extLst>
            <a:ext uri="{FF2B5EF4-FFF2-40B4-BE49-F238E27FC236}">
              <a16:creationId xmlns:a16="http://schemas.microsoft.com/office/drawing/2014/main" id="{35117F52-95CE-4661-9E32-18A25E7E1C80}"/>
            </a:ext>
          </a:extLst>
        </xdr:cNvPr>
        <xdr:cNvSpPr txBox="1"/>
      </xdr:nvSpPr>
      <xdr:spPr>
        <a:xfrm>
          <a:off x="13473953" y="22554954"/>
          <a:ext cx="906255" cy="39396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850">
              <a:latin typeface="Titillium Bd" panose="00000800000000000000" pitchFamily="50" charset="0"/>
            </a:rPr>
            <a:t>OPP PENALTY</a:t>
          </a:r>
          <a:endParaRPr lang="et-EE" sz="8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359408</xdr:colOff>
      <xdr:row>125</xdr:row>
      <xdr:rowOff>107330</xdr:rowOff>
    </xdr:from>
    <xdr:to>
      <xdr:col>24</xdr:col>
      <xdr:colOff>517540</xdr:colOff>
      <xdr:row>127</xdr:row>
      <xdr:rowOff>142705</xdr:rowOff>
    </xdr:to>
    <xdr:sp macro="" textlink="ANALYSIS!G161">
      <xdr:nvSpPr>
        <xdr:cNvPr id="624" name="TextBox 623">
          <a:extLst>
            <a:ext uri="{FF2B5EF4-FFF2-40B4-BE49-F238E27FC236}">
              <a16:creationId xmlns:a16="http://schemas.microsoft.com/office/drawing/2014/main" id="{2C6409D7-59A0-43D0-9989-F228AF0576FA}"/>
            </a:ext>
          </a:extLst>
        </xdr:cNvPr>
        <xdr:cNvSpPr txBox="1"/>
      </xdr:nvSpPr>
      <xdr:spPr>
        <a:xfrm>
          <a:off x="14456408" y="22909352"/>
          <a:ext cx="77104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D16CDA4-C316-40DD-80B7-659FFC56129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24</xdr:col>
      <xdr:colOff>517540</xdr:colOff>
      <xdr:row>125</xdr:row>
      <xdr:rowOff>107330</xdr:rowOff>
    </xdr:from>
    <xdr:to>
      <xdr:col>26</xdr:col>
      <xdr:colOff>93239</xdr:colOff>
      <xdr:row>127</xdr:row>
      <xdr:rowOff>142705</xdr:rowOff>
    </xdr:to>
    <xdr:sp macro="" textlink="ANALYSIS!H161">
      <xdr:nvSpPr>
        <xdr:cNvPr id="625" name="TextBox 624">
          <a:extLst>
            <a:ext uri="{FF2B5EF4-FFF2-40B4-BE49-F238E27FC236}">
              <a16:creationId xmlns:a16="http://schemas.microsoft.com/office/drawing/2014/main" id="{E6642F65-B7F2-4A8C-BAFC-2D798FEB0170}"/>
            </a:ext>
          </a:extLst>
        </xdr:cNvPr>
        <xdr:cNvSpPr txBox="1"/>
      </xdr:nvSpPr>
      <xdr:spPr>
        <a:xfrm>
          <a:off x="15227453" y="22909352"/>
          <a:ext cx="80152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44231D4-81F6-4581-AD27-D55B7E64B8A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26</xdr:col>
      <xdr:colOff>93239</xdr:colOff>
      <xdr:row>125</xdr:row>
      <xdr:rowOff>107330</xdr:rowOff>
    </xdr:from>
    <xdr:to>
      <xdr:col>27</xdr:col>
      <xdr:colOff>283756</xdr:colOff>
      <xdr:row>127</xdr:row>
      <xdr:rowOff>142705</xdr:rowOff>
    </xdr:to>
    <xdr:sp macro="" textlink="ANALYSIS!I161">
      <xdr:nvSpPr>
        <xdr:cNvPr id="626" name="TextBox 625">
          <a:extLst>
            <a:ext uri="{FF2B5EF4-FFF2-40B4-BE49-F238E27FC236}">
              <a16:creationId xmlns:a16="http://schemas.microsoft.com/office/drawing/2014/main" id="{D8D092ED-7751-42CF-BAB9-D875A0D92620}"/>
            </a:ext>
          </a:extLst>
        </xdr:cNvPr>
        <xdr:cNvSpPr txBox="1"/>
      </xdr:nvSpPr>
      <xdr:spPr>
        <a:xfrm>
          <a:off x="16028978" y="22909352"/>
          <a:ext cx="803430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89F755C-7F1E-446C-9BBD-608556EEED0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27</xdr:col>
      <xdr:colOff>283756</xdr:colOff>
      <xdr:row>125</xdr:row>
      <xdr:rowOff>107330</xdr:rowOff>
    </xdr:from>
    <xdr:to>
      <xdr:col>28</xdr:col>
      <xdr:colOff>474273</xdr:colOff>
      <xdr:row>127</xdr:row>
      <xdr:rowOff>142705</xdr:rowOff>
    </xdr:to>
    <xdr:sp macro="" textlink="ANALYSIS!J161">
      <xdr:nvSpPr>
        <xdr:cNvPr id="627" name="TextBox 626">
          <a:extLst>
            <a:ext uri="{FF2B5EF4-FFF2-40B4-BE49-F238E27FC236}">
              <a16:creationId xmlns:a16="http://schemas.microsoft.com/office/drawing/2014/main" id="{561ECA47-0CFC-4B20-BB86-7D250DFFB9D4}"/>
            </a:ext>
          </a:extLst>
        </xdr:cNvPr>
        <xdr:cNvSpPr txBox="1"/>
      </xdr:nvSpPr>
      <xdr:spPr>
        <a:xfrm>
          <a:off x="16832408" y="22909352"/>
          <a:ext cx="803430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06113A9-2945-41F2-9B74-CCAE6FBCCB7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28</xdr:col>
      <xdr:colOff>474273</xdr:colOff>
      <xdr:row>125</xdr:row>
      <xdr:rowOff>107330</xdr:rowOff>
    </xdr:from>
    <xdr:to>
      <xdr:col>30</xdr:col>
      <xdr:colOff>19492</xdr:colOff>
      <xdr:row>127</xdr:row>
      <xdr:rowOff>142705</xdr:rowOff>
    </xdr:to>
    <xdr:sp macro="" textlink="ANALYSIS!K161">
      <xdr:nvSpPr>
        <xdr:cNvPr id="628" name="TextBox 627">
          <a:extLst>
            <a:ext uri="{FF2B5EF4-FFF2-40B4-BE49-F238E27FC236}">
              <a16:creationId xmlns:a16="http://schemas.microsoft.com/office/drawing/2014/main" id="{0D1D67CF-F620-419E-BEA4-01148D6275EE}"/>
            </a:ext>
          </a:extLst>
        </xdr:cNvPr>
        <xdr:cNvSpPr txBox="1"/>
      </xdr:nvSpPr>
      <xdr:spPr>
        <a:xfrm>
          <a:off x="17635838" y="22909352"/>
          <a:ext cx="77104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B85ADC6-6616-4B84-838D-161C858BD2F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30</xdr:col>
      <xdr:colOff>19492</xdr:colOff>
      <xdr:row>125</xdr:row>
      <xdr:rowOff>107330</xdr:rowOff>
    </xdr:from>
    <xdr:to>
      <xdr:col>31</xdr:col>
      <xdr:colOff>208104</xdr:colOff>
      <xdr:row>127</xdr:row>
      <xdr:rowOff>142705</xdr:rowOff>
    </xdr:to>
    <xdr:sp macro="" textlink="ANALYSIS!L161">
      <xdr:nvSpPr>
        <xdr:cNvPr id="629" name="TextBox 628">
          <a:extLst>
            <a:ext uri="{FF2B5EF4-FFF2-40B4-BE49-F238E27FC236}">
              <a16:creationId xmlns:a16="http://schemas.microsoft.com/office/drawing/2014/main" id="{07F95D0D-7864-4718-8577-0034B0050E47}"/>
            </a:ext>
          </a:extLst>
        </xdr:cNvPr>
        <xdr:cNvSpPr txBox="1"/>
      </xdr:nvSpPr>
      <xdr:spPr>
        <a:xfrm>
          <a:off x="18406883" y="22909352"/>
          <a:ext cx="801525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6BC20C3-85A9-45BA-BD80-027BFBE90EB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31</xdr:col>
      <xdr:colOff>208104</xdr:colOff>
      <xdr:row>125</xdr:row>
      <xdr:rowOff>107330</xdr:rowOff>
    </xdr:from>
    <xdr:to>
      <xdr:col>32</xdr:col>
      <xdr:colOff>398621</xdr:colOff>
      <xdr:row>127</xdr:row>
      <xdr:rowOff>142705</xdr:rowOff>
    </xdr:to>
    <xdr:sp macro="" textlink="ANALYSIS!M161">
      <xdr:nvSpPr>
        <xdr:cNvPr id="630" name="TextBox 629">
          <a:extLst>
            <a:ext uri="{FF2B5EF4-FFF2-40B4-BE49-F238E27FC236}">
              <a16:creationId xmlns:a16="http://schemas.microsoft.com/office/drawing/2014/main" id="{19D6FF8F-D5FE-4461-8CD5-849CB26BF651}"/>
            </a:ext>
          </a:extLst>
        </xdr:cNvPr>
        <xdr:cNvSpPr txBox="1"/>
      </xdr:nvSpPr>
      <xdr:spPr>
        <a:xfrm>
          <a:off x="19208408" y="22909352"/>
          <a:ext cx="803430" cy="39981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7435F12-9E94-4266-BE7F-F52EE027881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</xdr:col>
      <xdr:colOff>0</xdr:colOff>
      <xdr:row>62</xdr:row>
      <xdr:rowOff>0</xdr:rowOff>
    </xdr:from>
    <xdr:to>
      <xdr:col>3</xdr:col>
      <xdr:colOff>0</xdr:colOff>
      <xdr:row>65</xdr:row>
      <xdr:rowOff>0</xdr:rowOff>
    </xdr:to>
    <xdr:sp macro="" textlink="ANALYSIS!H8">
      <xdr:nvSpPr>
        <xdr:cNvPr id="633" name="TextBox 632">
          <a:extLst>
            <a:ext uri="{FF2B5EF4-FFF2-40B4-BE49-F238E27FC236}">
              <a16:creationId xmlns:a16="http://schemas.microsoft.com/office/drawing/2014/main" id="{4E54001F-E1C7-943C-B758-9B6A3274E3E1}"/>
            </a:ext>
          </a:extLst>
        </xdr:cNvPr>
        <xdr:cNvSpPr txBox="1"/>
      </xdr:nvSpPr>
      <xdr:spPr>
        <a:xfrm>
          <a:off x="1251857" y="10994571"/>
          <a:ext cx="625929" cy="5306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FB2A393-4DB1-4F9A-8F5B-C9A14981B4B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>
            <a:noFill/>
          </a:endParaRPr>
        </a:p>
      </xdr:txBody>
    </xdr:sp>
    <xdr:clientData/>
  </xdr:twoCellAnchor>
  <xdr:twoCellAnchor>
    <xdr:from>
      <xdr:col>5</xdr:col>
      <xdr:colOff>0</xdr:colOff>
      <xdr:row>62</xdr:row>
      <xdr:rowOff>0</xdr:rowOff>
    </xdr:from>
    <xdr:to>
      <xdr:col>6</xdr:col>
      <xdr:colOff>1</xdr:colOff>
      <xdr:row>65</xdr:row>
      <xdr:rowOff>0</xdr:rowOff>
    </xdr:to>
    <xdr:sp macro="" textlink="ANALYSIS!H9">
      <xdr:nvSpPr>
        <xdr:cNvPr id="634" name="TextBox 633">
          <a:extLst>
            <a:ext uri="{FF2B5EF4-FFF2-40B4-BE49-F238E27FC236}">
              <a16:creationId xmlns:a16="http://schemas.microsoft.com/office/drawing/2014/main" id="{98DC6F9F-EC8F-44B0-9237-0B17E9FB3806}"/>
            </a:ext>
          </a:extLst>
        </xdr:cNvPr>
        <xdr:cNvSpPr txBox="1"/>
      </xdr:nvSpPr>
      <xdr:spPr>
        <a:xfrm>
          <a:off x="3129643" y="10994571"/>
          <a:ext cx="625929" cy="5306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29A7CB-612E-4FD2-8131-701BE9988A7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8</xdr:col>
      <xdr:colOff>0</xdr:colOff>
      <xdr:row>62</xdr:row>
      <xdr:rowOff>0</xdr:rowOff>
    </xdr:from>
    <xdr:to>
      <xdr:col>9</xdr:col>
      <xdr:colOff>1</xdr:colOff>
      <xdr:row>65</xdr:row>
      <xdr:rowOff>0</xdr:rowOff>
    </xdr:to>
    <xdr:sp macro="" textlink="ANALYSIS!H10">
      <xdr:nvSpPr>
        <xdr:cNvPr id="635" name="TextBox 634">
          <a:extLst>
            <a:ext uri="{FF2B5EF4-FFF2-40B4-BE49-F238E27FC236}">
              <a16:creationId xmlns:a16="http://schemas.microsoft.com/office/drawing/2014/main" id="{C952844B-EC52-4260-9605-F3141A60561C}"/>
            </a:ext>
          </a:extLst>
        </xdr:cNvPr>
        <xdr:cNvSpPr txBox="1"/>
      </xdr:nvSpPr>
      <xdr:spPr>
        <a:xfrm>
          <a:off x="5007429" y="10994571"/>
          <a:ext cx="625929" cy="5306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96CD1DE-CDD8-4226-9104-9056A2B3AF9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1</xdr:col>
      <xdr:colOff>432266</xdr:colOff>
      <xdr:row>69</xdr:row>
      <xdr:rowOff>1</xdr:rowOff>
    </xdr:from>
    <xdr:to>
      <xdr:col>2</xdr:col>
      <xdr:colOff>432267</xdr:colOff>
      <xdr:row>71</xdr:row>
      <xdr:rowOff>1</xdr:rowOff>
    </xdr:to>
    <xdr:sp macro="" textlink="ANALYSIS!K7">
      <xdr:nvSpPr>
        <xdr:cNvPr id="636" name="TextBox 635">
          <a:extLst>
            <a:ext uri="{FF2B5EF4-FFF2-40B4-BE49-F238E27FC236}">
              <a16:creationId xmlns:a16="http://schemas.microsoft.com/office/drawing/2014/main" id="{67EA0D02-A34F-4801-89D5-004D8D50CF64}"/>
            </a:ext>
          </a:extLst>
        </xdr:cNvPr>
        <xdr:cNvSpPr txBox="1"/>
      </xdr:nvSpPr>
      <xdr:spPr>
        <a:xfrm>
          <a:off x="1045179" y="12597849"/>
          <a:ext cx="612914" cy="364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F28E366-3D35-4C1D-AFAD-8EF734D76F7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3</xdr:col>
      <xdr:colOff>167723</xdr:colOff>
      <xdr:row>69</xdr:row>
      <xdr:rowOff>1</xdr:rowOff>
    </xdr:from>
    <xdr:to>
      <xdr:col>4</xdr:col>
      <xdr:colOff>167724</xdr:colOff>
      <xdr:row>71</xdr:row>
      <xdr:rowOff>1</xdr:rowOff>
    </xdr:to>
    <xdr:sp macro="" textlink="ANALYSIS!K9">
      <xdr:nvSpPr>
        <xdr:cNvPr id="637" name="TextBox 636">
          <a:extLst>
            <a:ext uri="{FF2B5EF4-FFF2-40B4-BE49-F238E27FC236}">
              <a16:creationId xmlns:a16="http://schemas.microsoft.com/office/drawing/2014/main" id="{A14F9692-9B85-4317-B74A-492504432F37}"/>
            </a:ext>
          </a:extLst>
        </xdr:cNvPr>
        <xdr:cNvSpPr txBox="1"/>
      </xdr:nvSpPr>
      <xdr:spPr>
        <a:xfrm>
          <a:off x="2006462" y="12597849"/>
          <a:ext cx="612914" cy="364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9E8910C-91A9-4D54-BBD9-B99CA05CBCF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7</xdr:col>
      <xdr:colOff>182879</xdr:colOff>
      <xdr:row>69</xdr:row>
      <xdr:rowOff>1</xdr:rowOff>
    </xdr:from>
    <xdr:to>
      <xdr:col>8</xdr:col>
      <xdr:colOff>179070</xdr:colOff>
      <xdr:row>71</xdr:row>
      <xdr:rowOff>1</xdr:rowOff>
    </xdr:to>
    <xdr:sp macro="" textlink="ANALYSIS!N7">
      <xdr:nvSpPr>
        <xdr:cNvPr id="638" name="TextBox 637">
          <a:extLst>
            <a:ext uri="{FF2B5EF4-FFF2-40B4-BE49-F238E27FC236}">
              <a16:creationId xmlns:a16="http://schemas.microsoft.com/office/drawing/2014/main" id="{6E8DB8EB-4204-41E2-A5DE-13FFF30656BD}"/>
            </a:ext>
          </a:extLst>
        </xdr:cNvPr>
        <xdr:cNvSpPr txBox="1"/>
      </xdr:nvSpPr>
      <xdr:spPr>
        <a:xfrm>
          <a:off x="4583429" y="12515851"/>
          <a:ext cx="624841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189FCB1-2A0D-40DB-BF5F-5C23354C76F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8</xdr:col>
      <xdr:colOff>483869</xdr:colOff>
      <xdr:row>69</xdr:row>
      <xdr:rowOff>1</xdr:rowOff>
    </xdr:from>
    <xdr:to>
      <xdr:col>9</xdr:col>
      <xdr:colOff>483870</xdr:colOff>
      <xdr:row>71</xdr:row>
      <xdr:rowOff>1</xdr:rowOff>
    </xdr:to>
    <xdr:sp macro="" textlink="ANALYSIS!N9">
      <xdr:nvSpPr>
        <xdr:cNvPr id="639" name="TextBox 638">
          <a:extLst>
            <a:ext uri="{FF2B5EF4-FFF2-40B4-BE49-F238E27FC236}">
              <a16:creationId xmlns:a16="http://schemas.microsoft.com/office/drawing/2014/main" id="{97F9DAA4-E2EA-4216-BAA3-B419CE76DD9A}"/>
            </a:ext>
          </a:extLst>
        </xdr:cNvPr>
        <xdr:cNvSpPr txBox="1"/>
      </xdr:nvSpPr>
      <xdr:spPr>
        <a:xfrm>
          <a:off x="5513069" y="12515851"/>
          <a:ext cx="628651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DC74658-7E1E-450B-B912-285124967A2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1</xdr:col>
      <xdr:colOff>478154</xdr:colOff>
      <xdr:row>77</xdr:row>
      <xdr:rowOff>0</xdr:rowOff>
    </xdr:from>
    <xdr:to>
      <xdr:col>2</xdr:col>
      <xdr:colOff>478155</xdr:colOff>
      <xdr:row>79</xdr:row>
      <xdr:rowOff>0</xdr:rowOff>
    </xdr:to>
    <xdr:sp macro="" textlink="ANALYSIS!K8">
      <xdr:nvSpPr>
        <xdr:cNvPr id="640" name="TextBox 639">
          <a:extLst>
            <a:ext uri="{FF2B5EF4-FFF2-40B4-BE49-F238E27FC236}">
              <a16:creationId xmlns:a16="http://schemas.microsoft.com/office/drawing/2014/main" id="{7139DC89-7BE7-4BB9-9A26-C86A18F87C73}"/>
            </a:ext>
          </a:extLst>
        </xdr:cNvPr>
        <xdr:cNvSpPr txBox="1"/>
      </xdr:nvSpPr>
      <xdr:spPr>
        <a:xfrm>
          <a:off x="1106804" y="13963650"/>
          <a:ext cx="628651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89D5A9-C945-449E-9906-1FFDF855293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3</xdr:col>
      <xdr:colOff>150494</xdr:colOff>
      <xdr:row>77</xdr:row>
      <xdr:rowOff>0</xdr:rowOff>
    </xdr:from>
    <xdr:to>
      <xdr:col>4</xdr:col>
      <xdr:colOff>150495</xdr:colOff>
      <xdr:row>79</xdr:row>
      <xdr:rowOff>0</xdr:rowOff>
    </xdr:to>
    <xdr:sp macro="" textlink="ANALYSIS!K10">
      <xdr:nvSpPr>
        <xdr:cNvPr id="641" name="TextBox 640">
          <a:extLst>
            <a:ext uri="{FF2B5EF4-FFF2-40B4-BE49-F238E27FC236}">
              <a16:creationId xmlns:a16="http://schemas.microsoft.com/office/drawing/2014/main" id="{9524FD29-AE7D-4F3B-9F71-CAB90817F60C}"/>
            </a:ext>
          </a:extLst>
        </xdr:cNvPr>
        <xdr:cNvSpPr txBox="1"/>
      </xdr:nvSpPr>
      <xdr:spPr>
        <a:xfrm>
          <a:off x="2036444" y="13963650"/>
          <a:ext cx="628651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EB7D17A-97FF-4446-A32A-DDD010BF0E9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7</xdr:col>
      <xdr:colOff>180974</xdr:colOff>
      <xdr:row>77</xdr:row>
      <xdr:rowOff>0</xdr:rowOff>
    </xdr:from>
    <xdr:to>
      <xdr:col>8</xdr:col>
      <xdr:colOff>171450</xdr:colOff>
      <xdr:row>79</xdr:row>
      <xdr:rowOff>0</xdr:rowOff>
    </xdr:to>
    <xdr:sp macro="" textlink="ANALYSIS!N8">
      <xdr:nvSpPr>
        <xdr:cNvPr id="642" name="TextBox 641">
          <a:extLst>
            <a:ext uri="{FF2B5EF4-FFF2-40B4-BE49-F238E27FC236}">
              <a16:creationId xmlns:a16="http://schemas.microsoft.com/office/drawing/2014/main" id="{A4A99761-5B5D-4DB9-8275-23FDF790AC53}"/>
            </a:ext>
          </a:extLst>
        </xdr:cNvPr>
        <xdr:cNvSpPr txBox="1"/>
      </xdr:nvSpPr>
      <xdr:spPr>
        <a:xfrm>
          <a:off x="4581524" y="13963650"/>
          <a:ext cx="619126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106BB0-96E6-4552-B352-2232F150FF6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8</xdr:col>
      <xdr:colOff>487679</xdr:colOff>
      <xdr:row>77</xdr:row>
      <xdr:rowOff>0</xdr:rowOff>
    </xdr:from>
    <xdr:to>
      <xdr:col>9</xdr:col>
      <xdr:colOff>485775</xdr:colOff>
      <xdr:row>79</xdr:row>
      <xdr:rowOff>0</xdr:rowOff>
    </xdr:to>
    <xdr:sp macro="" textlink="ANALYSIS!N10">
      <xdr:nvSpPr>
        <xdr:cNvPr id="643" name="TextBox 642">
          <a:extLst>
            <a:ext uri="{FF2B5EF4-FFF2-40B4-BE49-F238E27FC236}">
              <a16:creationId xmlns:a16="http://schemas.microsoft.com/office/drawing/2014/main" id="{7745A0C5-98B8-4667-A164-21A8BF10FE55}"/>
            </a:ext>
          </a:extLst>
        </xdr:cNvPr>
        <xdr:cNvSpPr txBox="1"/>
      </xdr:nvSpPr>
      <xdr:spPr>
        <a:xfrm>
          <a:off x="5516879" y="13963650"/>
          <a:ext cx="626746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684EE1-ACBD-4024-9819-829CEE5A430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/>
            <a:t> </a:t>
          </a:fld>
          <a:endParaRPr lang="et-EE" sz="1100"/>
        </a:p>
      </xdr:txBody>
    </xdr:sp>
    <xdr:clientData/>
  </xdr:twoCellAnchor>
  <xdr:twoCellAnchor>
    <xdr:from>
      <xdr:col>14</xdr:col>
      <xdr:colOff>359565</xdr:colOff>
      <xdr:row>59</xdr:row>
      <xdr:rowOff>24256</xdr:rowOff>
    </xdr:from>
    <xdr:to>
      <xdr:col>15</xdr:col>
      <xdr:colOff>553395</xdr:colOff>
      <xdr:row>61</xdr:row>
      <xdr:rowOff>31636</xdr:rowOff>
    </xdr:to>
    <xdr:sp macro="" textlink="">
      <xdr:nvSpPr>
        <xdr:cNvPr id="676" name="TextBox 675">
          <a:extLst>
            <a:ext uri="{FF2B5EF4-FFF2-40B4-BE49-F238E27FC236}">
              <a16:creationId xmlns:a16="http://schemas.microsoft.com/office/drawing/2014/main" id="{26E826C3-180A-48F4-85B9-7BC3198A0532}"/>
            </a:ext>
          </a:extLst>
        </xdr:cNvPr>
        <xdr:cNvSpPr txBox="1"/>
      </xdr:nvSpPr>
      <xdr:spPr>
        <a:xfrm>
          <a:off x="9188255" y="10902463"/>
          <a:ext cx="824450" cy="3752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EESTI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15</xdr:col>
      <xdr:colOff>553395</xdr:colOff>
      <xdr:row>59</xdr:row>
      <xdr:rowOff>24256</xdr:rowOff>
    </xdr:from>
    <xdr:to>
      <xdr:col>17</xdr:col>
      <xdr:colOff>59520</xdr:colOff>
      <xdr:row>61</xdr:row>
      <xdr:rowOff>31636</xdr:rowOff>
    </xdr:to>
    <xdr:sp macro="" textlink="">
      <xdr:nvSpPr>
        <xdr:cNvPr id="677" name="TextBox 676">
          <a:extLst>
            <a:ext uri="{FF2B5EF4-FFF2-40B4-BE49-F238E27FC236}">
              <a16:creationId xmlns:a16="http://schemas.microsoft.com/office/drawing/2014/main" id="{0CD1852E-89B8-4BB7-A53E-BEF7E6442928}"/>
            </a:ext>
          </a:extLst>
        </xdr:cNvPr>
        <xdr:cNvSpPr txBox="1"/>
      </xdr:nvSpPr>
      <xdr:spPr>
        <a:xfrm>
          <a:off x="10012705" y="10902463"/>
          <a:ext cx="767367" cy="3752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EESTI%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17</xdr:col>
      <xdr:colOff>59520</xdr:colOff>
      <xdr:row>59</xdr:row>
      <xdr:rowOff>24256</xdr:rowOff>
    </xdr:from>
    <xdr:to>
      <xdr:col>18</xdr:col>
      <xdr:colOff>249540</xdr:colOff>
      <xdr:row>61</xdr:row>
      <xdr:rowOff>31636</xdr:rowOff>
    </xdr:to>
    <xdr:sp macro="" textlink="">
      <xdr:nvSpPr>
        <xdr:cNvPr id="678" name="TextBox 677">
          <a:extLst>
            <a:ext uri="{FF2B5EF4-FFF2-40B4-BE49-F238E27FC236}">
              <a16:creationId xmlns:a16="http://schemas.microsoft.com/office/drawing/2014/main" id="{629AF4F0-EEAA-43D0-A80F-AC7BE839437B}"/>
            </a:ext>
          </a:extLst>
        </xdr:cNvPr>
        <xdr:cNvSpPr txBox="1"/>
      </xdr:nvSpPr>
      <xdr:spPr>
        <a:xfrm>
          <a:off x="10780072" y="10902463"/>
          <a:ext cx="820640" cy="3752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VASTANE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18</xdr:col>
      <xdr:colOff>249540</xdr:colOff>
      <xdr:row>59</xdr:row>
      <xdr:rowOff>24256</xdr:rowOff>
    </xdr:from>
    <xdr:to>
      <xdr:col>19</xdr:col>
      <xdr:colOff>399555</xdr:colOff>
      <xdr:row>61</xdr:row>
      <xdr:rowOff>31636</xdr:rowOff>
    </xdr:to>
    <xdr:sp macro="" textlink="">
      <xdr:nvSpPr>
        <xdr:cNvPr id="679" name="TextBox 678">
          <a:extLst>
            <a:ext uri="{FF2B5EF4-FFF2-40B4-BE49-F238E27FC236}">
              <a16:creationId xmlns:a16="http://schemas.microsoft.com/office/drawing/2014/main" id="{5A76B578-84A4-4D15-B390-CBFA1D72BD2C}"/>
            </a:ext>
          </a:extLst>
        </xdr:cNvPr>
        <xdr:cNvSpPr txBox="1"/>
      </xdr:nvSpPr>
      <xdr:spPr>
        <a:xfrm>
          <a:off x="11600712" y="10902463"/>
          <a:ext cx="780636" cy="37524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VASTANE%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554648</xdr:colOff>
      <xdr:row>61</xdr:row>
      <xdr:rowOff>31432</xdr:rowOff>
    </xdr:from>
    <xdr:to>
      <xdr:col>14</xdr:col>
      <xdr:colOff>359566</xdr:colOff>
      <xdr:row>63</xdr:row>
      <xdr:rowOff>52147</xdr:rowOff>
    </xdr:to>
    <xdr:sp macro="" textlink="">
      <xdr:nvSpPr>
        <xdr:cNvPr id="680" name="TextBox 679">
          <a:extLst>
            <a:ext uri="{FF2B5EF4-FFF2-40B4-BE49-F238E27FC236}">
              <a16:creationId xmlns:a16="http://schemas.microsoft.com/office/drawing/2014/main" id="{F942331A-F3FC-436D-BC03-65779562FB45}"/>
            </a:ext>
          </a:extLst>
        </xdr:cNvPr>
        <xdr:cNvSpPr txBox="1"/>
      </xdr:nvSpPr>
      <xdr:spPr>
        <a:xfrm>
          <a:off x="7850393" y="11185815"/>
          <a:ext cx="1020875" cy="38550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PRESSINGUID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359565</xdr:colOff>
      <xdr:row>61</xdr:row>
      <xdr:rowOff>31636</xdr:rowOff>
    </xdr:from>
    <xdr:to>
      <xdr:col>15</xdr:col>
      <xdr:colOff>553395</xdr:colOff>
      <xdr:row>63</xdr:row>
      <xdr:rowOff>61876</xdr:rowOff>
    </xdr:to>
    <xdr:sp macro="" textlink="ANALYSIS!G91">
      <xdr:nvSpPr>
        <xdr:cNvPr id="681" name="TextBox 680">
          <a:extLst>
            <a:ext uri="{FF2B5EF4-FFF2-40B4-BE49-F238E27FC236}">
              <a16:creationId xmlns:a16="http://schemas.microsoft.com/office/drawing/2014/main" id="{AF3759E6-1A52-4989-9147-D5F53CC254A0}"/>
            </a:ext>
          </a:extLst>
        </xdr:cNvPr>
        <xdr:cNvSpPr txBox="1"/>
      </xdr:nvSpPr>
      <xdr:spPr>
        <a:xfrm>
          <a:off x="9188255" y="11277705"/>
          <a:ext cx="824450" cy="39810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7BCB87F-381A-46C3-A4A0-7DC20708537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25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61</xdr:row>
      <xdr:rowOff>31636</xdr:rowOff>
    </xdr:from>
    <xdr:to>
      <xdr:col>17</xdr:col>
      <xdr:colOff>59520</xdr:colOff>
      <xdr:row>63</xdr:row>
      <xdr:rowOff>61876</xdr:rowOff>
    </xdr:to>
    <xdr:sp macro="" textlink="">
      <xdr:nvSpPr>
        <xdr:cNvPr id="682" name="TextBox 681">
          <a:extLst>
            <a:ext uri="{FF2B5EF4-FFF2-40B4-BE49-F238E27FC236}">
              <a16:creationId xmlns:a16="http://schemas.microsoft.com/office/drawing/2014/main" id="{599546C9-6D0A-40CD-8671-87783D1F729B}"/>
            </a:ext>
          </a:extLst>
        </xdr:cNvPr>
        <xdr:cNvSpPr txBox="1"/>
      </xdr:nvSpPr>
      <xdr:spPr>
        <a:xfrm>
          <a:off x="10012705" y="11277705"/>
          <a:ext cx="767367" cy="398102"/>
        </a:xfrm>
        <a:prstGeom prst="rect">
          <a:avLst/>
        </a:prstGeom>
        <a:pattFill prst="wdUpDiag">
          <a:fgClr>
            <a:schemeClr val="tx1">
              <a:lumMod val="50000"/>
              <a:lumOff val="50000"/>
            </a:schemeClr>
          </a:fgClr>
          <a:bgClr>
            <a:schemeClr val="bg1"/>
          </a:bgClr>
        </a:patt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endParaRPr lang="et-EE" sz="1100"/>
        </a:p>
      </xdr:txBody>
    </xdr:sp>
    <xdr:clientData/>
  </xdr:twoCellAnchor>
  <xdr:twoCellAnchor>
    <xdr:from>
      <xdr:col>17</xdr:col>
      <xdr:colOff>59520</xdr:colOff>
      <xdr:row>61</xdr:row>
      <xdr:rowOff>31636</xdr:rowOff>
    </xdr:from>
    <xdr:to>
      <xdr:col>18</xdr:col>
      <xdr:colOff>249540</xdr:colOff>
      <xdr:row>63</xdr:row>
      <xdr:rowOff>61876</xdr:rowOff>
    </xdr:to>
    <xdr:sp macro="" textlink="ANALYSIS!I91">
      <xdr:nvSpPr>
        <xdr:cNvPr id="683" name="TextBox 682">
          <a:extLst>
            <a:ext uri="{FF2B5EF4-FFF2-40B4-BE49-F238E27FC236}">
              <a16:creationId xmlns:a16="http://schemas.microsoft.com/office/drawing/2014/main" id="{E2E184C5-3B6E-4B34-B9BF-81F738814D5D}"/>
            </a:ext>
          </a:extLst>
        </xdr:cNvPr>
        <xdr:cNvSpPr txBox="1"/>
      </xdr:nvSpPr>
      <xdr:spPr>
        <a:xfrm>
          <a:off x="10780072" y="11277705"/>
          <a:ext cx="820640" cy="39810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1647E34-EB22-45DB-8855-D8ACA941023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36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61</xdr:row>
      <xdr:rowOff>31636</xdr:rowOff>
    </xdr:from>
    <xdr:to>
      <xdr:col>19</xdr:col>
      <xdr:colOff>399555</xdr:colOff>
      <xdr:row>63</xdr:row>
      <xdr:rowOff>61876</xdr:rowOff>
    </xdr:to>
    <xdr:sp macro="" textlink="">
      <xdr:nvSpPr>
        <xdr:cNvPr id="684" name="TextBox 683">
          <a:extLst>
            <a:ext uri="{FF2B5EF4-FFF2-40B4-BE49-F238E27FC236}">
              <a16:creationId xmlns:a16="http://schemas.microsoft.com/office/drawing/2014/main" id="{2CEBE52B-4BED-4C03-945F-AB6DC19F7C8B}"/>
            </a:ext>
          </a:extLst>
        </xdr:cNvPr>
        <xdr:cNvSpPr txBox="1"/>
      </xdr:nvSpPr>
      <xdr:spPr>
        <a:xfrm>
          <a:off x="11600712" y="11277705"/>
          <a:ext cx="780636" cy="398102"/>
        </a:xfrm>
        <a:prstGeom prst="rect">
          <a:avLst/>
        </a:prstGeom>
        <a:pattFill prst="wdUpDiag">
          <a:fgClr>
            <a:schemeClr val="tx1">
              <a:lumMod val="50000"/>
              <a:lumOff val="50000"/>
            </a:schemeClr>
          </a:fgClr>
          <a:bgClr>
            <a:schemeClr val="bg1"/>
          </a:bgClr>
        </a:patt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endParaRPr lang="et-EE" sz="1100"/>
        </a:p>
      </xdr:txBody>
    </xdr:sp>
    <xdr:clientData/>
  </xdr:twoCellAnchor>
  <xdr:twoCellAnchor>
    <xdr:from>
      <xdr:col>12</xdr:col>
      <xdr:colOff>554648</xdr:colOff>
      <xdr:row>63</xdr:row>
      <xdr:rowOff>52147</xdr:rowOff>
    </xdr:from>
    <xdr:to>
      <xdr:col>14</xdr:col>
      <xdr:colOff>359566</xdr:colOff>
      <xdr:row>65</xdr:row>
      <xdr:rowOff>91912</xdr:rowOff>
    </xdr:to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id="{547C3E78-6C07-4542-B810-CD18FB6CB442}"/>
            </a:ext>
          </a:extLst>
        </xdr:cNvPr>
        <xdr:cNvSpPr txBox="1"/>
      </xdr:nvSpPr>
      <xdr:spPr>
        <a:xfrm>
          <a:off x="7850393" y="11571317"/>
          <a:ext cx="1020875" cy="4045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HIGHPRESS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359565</xdr:colOff>
      <xdr:row>63</xdr:row>
      <xdr:rowOff>61876</xdr:rowOff>
    </xdr:from>
    <xdr:to>
      <xdr:col>15</xdr:col>
      <xdr:colOff>553395</xdr:colOff>
      <xdr:row>65</xdr:row>
      <xdr:rowOff>109261</xdr:rowOff>
    </xdr:to>
    <xdr:sp macro="" textlink="ANALYSIS!G92">
      <xdr:nvSpPr>
        <xdr:cNvPr id="686" name="TextBox 685">
          <a:extLst>
            <a:ext uri="{FF2B5EF4-FFF2-40B4-BE49-F238E27FC236}">
              <a16:creationId xmlns:a16="http://schemas.microsoft.com/office/drawing/2014/main" id="{C13C2F89-3BB5-4365-BF19-AC513C027655}"/>
            </a:ext>
          </a:extLst>
        </xdr:cNvPr>
        <xdr:cNvSpPr txBox="1"/>
      </xdr:nvSpPr>
      <xdr:spPr>
        <a:xfrm>
          <a:off x="9188255" y="11675807"/>
          <a:ext cx="824450" cy="41524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8F0F018-F2E4-4618-BC74-0F460283CE9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12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63</xdr:row>
      <xdr:rowOff>61876</xdr:rowOff>
    </xdr:from>
    <xdr:to>
      <xdr:col>17</xdr:col>
      <xdr:colOff>59520</xdr:colOff>
      <xdr:row>65</xdr:row>
      <xdr:rowOff>109261</xdr:rowOff>
    </xdr:to>
    <xdr:sp macro="" textlink="ANALYSIS!H92">
      <xdr:nvSpPr>
        <xdr:cNvPr id="687" name="TextBox 686">
          <a:extLst>
            <a:ext uri="{FF2B5EF4-FFF2-40B4-BE49-F238E27FC236}">
              <a16:creationId xmlns:a16="http://schemas.microsoft.com/office/drawing/2014/main" id="{A742E08E-C1A0-4AF3-8E8C-8DC12FC074DC}"/>
            </a:ext>
          </a:extLst>
        </xdr:cNvPr>
        <xdr:cNvSpPr txBox="1"/>
      </xdr:nvSpPr>
      <xdr:spPr>
        <a:xfrm>
          <a:off x="10012705" y="11675807"/>
          <a:ext cx="767367" cy="41524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E56F70D-2F2D-474D-BE9E-FFCB228A5FA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48%</a:t>
          </a:fld>
          <a:endParaRPr lang="et-EE" sz="1100"/>
        </a:p>
      </xdr:txBody>
    </xdr:sp>
    <xdr:clientData/>
  </xdr:twoCellAnchor>
  <xdr:twoCellAnchor>
    <xdr:from>
      <xdr:col>17</xdr:col>
      <xdr:colOff>59520</xdr:colOff>
      <xdr:row>63</xdr:row>
      <xdr:rowOff>61876</xdr:rowOff>
    </xdr:from>
    <xdr:to>
      <xdr:col>18</xdr:col>
      <xdr:colOff>249540</xdr:colOff>
      <xdr:row>65</xdr:row>
      <xdr:rowOff>109261</xdr:rowOff>
    </xdr:to>
    <xdr:sp macro="" textlink="ANALYSIS!I92">
      <xdr:nvSpPr>
        <xdr:cNvPr id="688" name="TextBox 687">
          <a:extLst>
            <a:ext uri="{FF2B5EF4-FFF2-40B4-BE49-F238E27FC236}">
              <a16:creationId xmlns:a16="http://schemas.microsoft.com/office/drawing/2014/main" id="{F46138C7-9E3C-42C8-8D07-DC7E528F0AA6}"/>
            </a:ext>
          </a:extLst>
        </xdr:cNvPr>
        <xdr:cNvSpPr txBox="1"/>
      </xdr:nvSpPr>
      <xdr:spPr>
        <a:xfrm>
          <a:off x="10780072" y="11675807"/>
          <a:ext cx="820640" cy="41524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2B81276-3DA1-48FC-8978-71FC3BAEFB7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8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63</xdr:row>
      <xdr:rowOff>61876</xdr:rowOff>
    </xdr:from>
    <xdr:to>
      <xdr:col>19</xdr:col>
      <xdr:colOff>399555</xdr:colOff>
      <xdr:row>65</xdr:row>
      <xdr:rowOff>109261</xdr:rowOff>
    </xdr:to>
    <xdr:sp macro="" textlink="ANALYSIS!J92">
      <xdr:nvSpPr>
        <xdr:cNvPr id="689" name="TextBox 688">
          <a:extLst>
            <a:ext uri="{FF2B5EF4-FFF2-40B4-BE49-F238E27FC236}">
              <a16:creationId xmlns:a16="http://schemas.microsoft.com/office/drawing/2014/main" id="{B53EBFC8-B398-47EB-A4D6-49D122D34A46}"/>
            </a:ext>
          </a:extLst>
        </xdr:cNvPr>
        <xdr:cNvSpPr txBox="1"/>
      </xdr:nvSpPr>
      <xdr:spPr>
        <a:xfrm>
          <a:off x="11600712" y="11675807"/>
          <a:ext cx="780636" cy="41524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8633418-5B45-4311-8E22-3CD02890FB3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22%</a:t>
          </a:fld>
          <a:endParaRPr lang="et-EE" sz="1100"/>
        </a:p>
      </xdr:txBody>
    </xdr:sp>
    <xdr:clientData/>
  </xdr:twoCellAnchor>
  <xdr:twoCellAnchor>
    <xdr:from>
      <xdr:col>12</xdr:col>
      <xdr:colOff>554648</xdr:colOff>
      <xdr:row>65</xdr:row>
      <xdr:rowOff>91912</xdr:rowOff>
    </xdr:from>
    <xdr:to>
      <xdr:col>14</xdr:col>
      <xdr:colOff>359566</xdr:colOff>
      <xdr:row>67</xdr:row>
      <xdr:rowOff>127867</xdr:rowOff>
    </xdr:to>
    <xdr:sp macro="" textlink="">
      <xdr:nvSpPr>
        <xdr:cNvPr id="690" name="TextBox 689">
          <a:extLst>
            <a:ext uri="{FF2B5EF4-FFF2-40B4-BE49-F238E27FC236}">
              <a16:creationId xmlns:a16="http://schemas.microsoft.com/office/drawing/2014/main" id="{3F0AA0E2-9972-4044-9F68-8ED72C97A0A9}"/>
            </a:ext>
          </a:extLst>
        </xdr:cNvPr>
        <xdr:cNvSpPr txBox="1"/>
      </xdr:nvSpPr>
      <xdr:spPr>
        <a:xfrm>
          <a:off x="7850393" y="11975869"/>
          <a:ext cx="1020875" cy="40074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MIDPRESS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359565</xdr:colOff>
      <xdr:row>65</xdr:row>
      <xdr:rowOff>109261</xdr:rowOff>
    </xdr:from>
    <xdr:to>
      <xdr:col>15</xdr:col>
      <xdr:colOff>553395</xdr:colOff>
      <xdr:row>67</xdr:row>
      <xdr:rowOff>137596</xdr:rowOff>
    </xdr:to>
    <xdr:sp macro="" textlink="ANALYSIS!G93">
      <xdr:nvSpPr>
        <xdr:cNvPr id="691" name="TextBox 690">
          <a:extLst>
            <a:ext uri="{FF2B5EF4-FFF2-40B4-BE49-F238E27FC236}">
              <a16:creationId xmlns:a16="http://schemas.microsoft.com/office/drawing/2014/main" id="{F7542AEB-D4F1-42D9-82C7-04F0F6BA21D0}"/>
            </a:ext>
          </a:extLst>
        </xdr:cNvPr>
        <xdr:cNvSpPr txBox="1"/>
      </xdr:nvSpPr>
      <xdr:spPr>
        <a:xfrm>
          <a:off x="9188255" y="12091054"/>
          <a:ext cx="824450" cy="39619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E02533F-C967-412F-9826-AFF4FE901F5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11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65</xdr:row>
      <xdr:rowOff>109261</xdr:rowOff>
    </xdr:from>
    <xdr:to>
      <xdr:col>17</xdr:col>
      <xdr:colOff>59520</xdr:colOff>
      <xdr:row>67</xdr:row>
      <xdr:rowOff>137596</xdr:rowOff>
    </xdr:to>
    <xdr:sp macro="" textlink="ANALYSIS!H93">
      <xdr:nvSpPr>
        <xdr:cNvPr id="692" name="TextBox 691">
          <a:extLst>
            <a:ext uri="{FF2B5EF4-FFF2-40B4-BE49-F238E27FC236}">
              <a16:creationId xmlns:a16="http://schemas.microsoft.com/office/drawing/2014/main" id="{79FEEF50-D866-45E9-9070-BAF83F711ED0}"/>
            </a:ext>
          </a:extLst>
        </xdr:cNvPr>
        <xdr:cNvSpPr txBox="1"/>
      </xdr:nvSpPr>
      <xdr:spPr>
        <a:xfrm>
          <a:off x="10012705" y="12091054"/>
          <a:ext cx="767367" cy="39619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1CFEDD3-2319-4C84-9239-1F32488A588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44%</a:t>
          </a:fld>
          <a:endParaRPr lang="et-EE" sz="1100"/>
        </a:p>
      </xdr:txBody>
    </xdr:sp>
    <xdr:clientData/>
  </xdr:twoCellAnchor>
  <xdr:twoCellAnchor>
    <xdr:from>
      <xdr:col>17</xdr:col>
      <xdr:colOff>59520</xdr:colOff>
      <xdr:row>65</xdr:row>
      <xdr:rowOff>109261</xdr:rowOff>
    </xdr:from>
    <xdr:to>
      <xdr:col>18</xdr:col>
      <xdr:colOff>249540</xdr:colOff>
      <xdr:row>67</xdr:row>
      <xdr:rowOff>137596</xdr:rowOff>
    </xdr:to>
    <xdr:sp macro="" textlink="ANALYSIS!I93">
      <xdr:nvSpPr>
        <xdr:cNvPr id="693" name="TextBox 692">
          <a:extLst>
            <a:ext uri="{FF2B5EF4-FFF2-40B4-BE49-F238E27FC236}">
              <a16:creationId xmlns:a16="http://schemas.microsoft.com/office/drawing/2014/main" id="{28DF3C16-B159-46D4-B47A-A23C47C1666C}"/>
            </a:ext>
          </a:extLst>
        </xdr:cNvPr>
        <xdr:cNvSpPr txBox="1"/>
      </xdr:nvSpPr>
      <xdr:spPr>
        <a:xfrm>
          <a:off x="10780072" y="12091054"/>
          <a:ext cx="820640" cy="39619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1F3A2B9-B6B0-46B2-87C5-69856679C65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23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65</xdr:row>
      <xdr:rowOff>109261</xdr:rowOff>
    </xdr:from>
    <xdr:to>
      <xdr:col>19</xdr:col>
      <xdr:colOff>399555</xdr:colOff>
      <xdr:row>67</xdr:row>
      <xdr:rowOff>137596</xdr:rowOff>
    </xdr:to>
    <xdr:sp macro="" textlink="ANALYSIS!J93">
      <xdr:nvSpPr>
        <xdr:cNvPr id="694" name="TextBox 693">
          <a:extLst>
            <a:ext uri="{FF2B5EF4-FFF2-40B4-BE49-F238E27FC236}">
              <a16:creationId xmlns:a16="http://schemas.microsoft.com/office/drawing/2014/main" id="{0C3AFE28-9E2B-44EE-AF9A-2CF710056EBF}"/>
            </a:ext>
          </a:extLst>
        </xdr:cNvPr>
        <xdr:cNvSpPr txBox="1"/>
      </xdr:nvSpPr>
      <xdr:spPr>
        <a:xfrm>
          <a:off x="11600712" y="12091054"/>
          <a:ext cx="780636" cy="39619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539F614-D8AF-49B2-891F-5F3512137DE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64%</a:t>
          </a:fld>
          <a:endParaRPr lang="et-EE" sz="1100"/>
        </a:p>
      </xdr:txBody>
    </xdr:sp>
    <xdr:clientData/>
  </xdr:twoCellAnchor>
  <xdr:twoCellAnchor>
    <xdr:from>
      <xdr:col>12</xdr:col>
      <xdr:colOff>554648</xdr:colOff>
      <xdr:row>67</xdr:row>
      <xdr:rowOff>127867</xdr:rowOff>
    </xdr:from>
    <xdr:to>
      <xdr:col>14</xdr:col>
      <xdr:colOff>359566</xdr:colOff>
      <xdr:row>69</xdr:row>
      <xdr:rowOff>165727</xdr:rowOff>
    </xdr:to>
    <xdr:sp macro="" textlink="">
      <xdr:nvSpPr>
        <xdr:cNvPr id="695" name="TextBox 694">
          <a:extLst>
            <a:ext uri="{FF2B5EF4-FFF2-40B4-BE49-F238E27FC236}">
              <a16:creationId xmlns:a16="http://schemas.microsoft.com/office/drawing/2014/main" id="{BFCA4C7C-3379-449B-8AC9-5E3BD9D8A673}"/>
            </a:ext>
          </a:extLst>
        </xdr:cNvPr>
        <xdr:cNvSpPr txBox="1"/>
      </xdr:nvSpPr>
      <xdr:spPr>
        <a:xfrm>
          <a:off x="7850393" y="12376612"/>
          <a:ext cx="1020875" cy="40264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LOWPRESS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359565</xdr:colOff>
      <xdr:row>67</xdr:row>
      <xdr:rowOff>137596</xdr:rowOff>
    </xdr:from>
    <xdr:to>
      <xdr:col>15</xdr:col>
      <xdr:colOff>553395</xdr:colOff>
      <xdr:row>69</xdr:row>
      <xdr:rowOff>167836</xdr:rowOff>
    </xdr:to>
    <xdr:sp macro="" textlink="ANALYSIS!G94">
      <xdr:nvSpPr>
        <xdr:cNvPr id="696" name="TextBox 695">
          <a:extLst>
            <a:ext uri="{FF2B5EF4-FFF2-40B4-BE49-F238E27FC236}">
              <a16:creationId xmlns:a16="http://schemas.microsoft.com/office/drawing/2014/main" id="{2D70BE29-6B09-4E80-A1A6-834896896F61}"/>
            </a:ext>
          </a:extLst>
        </xdr:cNvPr>
        <xdr:cNvSpPr txBox="1"/>
      </xdr:nvSpPr>
      <xdr:spPr>
        <a:xfrm>
          <a:off x="9188255" y="12487251"/>
          <a:ext cx="824450" cy="39810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33B22C7-CAC7-4ED5-8339-1840A1D891E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67</xdr:row>
      <xdr:rowOff>137596</xdr:rowOff>
    </xdr:from>
    <xdr:to>
      <xdr:col>17</xdr:col>
      <xdr:colOff>59520</xdr:colOff>
      <xdr:row>69</xdr:row>
      <xdr:rowOff>167836</xdr:rowOff>
    </xdr:to>
    <xdr:sp macro="" textlink="ANALYSIS!H94">
      <xdr:nvSpPr>
        <xdr:cNvPr id="697" name="TextBox 696">
          <a:extLst>
            <a:ext uri="{FF2B5EF4-FFF2-40B4-BE49-F238E27FC236}">
              <a16:creationId xmlns:a16="http://schemas.microsoft.com/office/drawing/2014/main" id="{3AA06266-8D81-43C5-9C44-D6A8AC106E22}"/>
            </a:ext>
          </a:extLst>
        </xdr:cNvPr>
        <xdr:cNvSpPr txBox="1"/>
      </xdr:nvSpPr>
      <xdr:spPr>
        <a:xfrm>
          <a:off x="10012705" y="12487251"/>
          <a:ext cx="767367" cy="39810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CB60A5B-9464-4AF7-BFBB-F3F7EFB2B12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t-EE" sz="1100"/>
        </a:p>
      </xdr:txBody>
    </xdr:sp>
    <xdr:clientData/>
  </xdr:twoCellAnchor>
  <xdr:twoCellAnchor>
    <xdr:from>
      <xdr:col>17</xdr:col>
      <xdr:colOff>59520</xdr:colOff>
      <xdr:row>67</xdr:row>
      <xdr:rowOff>137596</xdr:rowOff>
    </xdr:from>
    <xdr:to>
      <xdr:col>18</xdr:col>
      <xdr:colOff>249540</xdr:colOff>
      <xdr:row>69</xdr:row>
      <xdr:rowOff>167836</xdr:rowOff>
    </xdr:to>
    <xdr:sp macro="" textlink="ANALYSIS!I94">
      <xdr:nvSpPr>
        <xdr:cNvPr id="698" name="TextBox 697">
          <a:extLst>
            <a:ext uri="{FF2B5EF4-FFF2-40B4-BE49-F238E27FC236}">
              <a16:creationId xmlns:a16="http://schemas.microsoft.com/office/drawing/2014/main" id="{2CFA6739-CF45-4C9D-B268-1EA120321F2C}"/>
            </a:ext>
          </a:extLst>
        </xdr:cNvPr>
        <xdr:cNvSpPr txBox="1"/>
      </xdr:nvSpPr>
      <xdr:spPr>
        <a:xfrm>
          <a:off x="10780072" y="12487251"/>
          <a:ext cx="820640" cy="39810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2673BF2-3486-45F3-9E0A-1E47FB9AFA8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67</xdr:row>
      <xdr:rowOff>137596</xdr:rowOff>
    </xdr:from>
    <xdr:to>
      <xdr:col>19</xdr:col>
      <xdr:colOff>399555</xdr:colOff>
      <xdr:row>69</xdr:row>
      <xdr:rowOff>167836</xdr:rowOff>
    </xdr:to>
    <xdr:sp macro="" textlink="ANALYSIS!J94">
      <xdr:nvSpPr>
        <xdr:cNvPr id="699" name="TextBox 698">
          <a:extLst>
            <a:ext uri="{FF2B5EF4-FFF2-40B4-BE49-F238E27FC236}">
              <a16:creationId xmlns:a16="http://schemas.microsoft.com/office/drawing/2014/main" id="{94CC7684-9BB3-43D2-A6C7-155CBBF377DA}"/>
            </a:ext>
          </a:extLst>
        </xdr:cNvPr>
        <xdr:cNvSpPr txBox="1"/>
      </xdr:nvSpPr>
      <xdr:spPr>
        <a:xfrm>
          <a:off x="11600712" y="12487251"/>
          <a:ext cx="780636" cy="39810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3E39418-95C6-4EB9-91A7-2E9C3CC7F38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14%</a:t>
          </a:fld>
          <a:endParaRPr lang="et-EE" sz="1100"/>
        </a:p>
      </xdr:txBody>
    </xdr:sp>
    <xdr:clientData/>
  </xdr:twoCellAnchor>
  <xdr:twoCellAnchor>
    <xdr:from>
      <xdr:col>14</xdr:col>
      <xdr:colOff>384330</xdr:colOff>
      <xdr:row>71</xdr:row>
      <xdr:rowOff>108467</xdr:rowOff>
    </xdr:from>
    <xdr:to>
      <xdr:col>15</xdr:col>
      <xdr:colOff>553395</xdr:colOff>
      <xdr:row>73</xdr:row>
      <xdr:rowOff>147730</xdr:rowOff>
    </xdr:to>
    <xdr:sp macro="" textlink="">
      <xdr:nvSpPr>
        <xdr:cNvPr id="726" name="TextBox 725">
          <a:extLst>
            <a:ext uri="{FF2B5EF4-FFF2-40B4-BE49-F238E27FC236}">
              <a16:creationId xmlns:a16="http://schemas.microsoft.com/office/drawing/2014/main" id="{0965C4BC-2C83-46E6-97E2-43886EE13E13}"/>
            </a:ext>
          </a:extLst>
        </xdr:cNvPr>
        <xdr:cNvSpPr txBox="1"/>
      </xdr:nvSpPr>
      <xdr:spPr>
        <a:xfrm>
          <a:off x="9213020" y="13193846"/>
          <a:ext cx="799685" cy="40712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EESTI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15</xdr:col>
      <xdr:colOff>553395</xdr:colOff>
      <xdr:row>71</xdr:row>
      <xdr:rowOff>108467</xdr:rowOff>
    </xdr:from>
    <xdr:to>
      <xdr:col>17</xdr:col>
      <xdr:colOff>55710</xdr:colOff>
      <xdr:row>73</xdr:row>
      <xdr:rowOff>147730</xdr:rowOff>
    </xdr:to>
    <xdr:sp macro="" textlink="">
      <xdr:nvSpPr>
        <xdr:cNvPr id="727" name="TextBox 726">
          <a:extLst>
            <a:ext uri="{FF2B5EF4-FFF2-40B4-BE49-F238E27FC236}">
              <a16:creationId xmlns:a16="http://schemas.microsoft.com/office/drawing/2014/main" id="{3E455C89-4A1C-40DE-9228-E14FE25A7740}"/>
            </a:ext>
          </a:extLst>
        </xdr:cNvPr>
        <xdr:cNvSpPr txBox="1"/>
      </xdr:nvSpPr>
      <xdr:spPr>
        <a:xfrm>
          <a:off x="10012705" y="13193846"/>
          <a:ext cx="763557" cy="40712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EESTI%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17</xdr:col>
      <xdr:colOff>55710</xdr:colOff>
      <xdr:row>71</xdr:row>
      <xdr:rowOff>108467</xdr:rowOff>
    </xdr:from>
    <xdr:to>
      <xdr:col>18</xdr:col>
      <xdr:colOff>249540</xdr:colOff>
      <xdr:row>73</xdr:row>
      <xdr:rowOff>147730</xdr:rowOff>
    </xdr:to>
    <xdr:sp macro="" textlink="">
      <xdr:nvSpPr>
        <xdr:cNvPr id="728" name="TextBox 727">
          <a:extLst>
            <a:ext uri="{FF2B5EF4-FFF2-40B4-BE49-F238E27FC236}">
              <a16:creationId xmlns:a16="http://schemas.microsoft.com/office/drawing/2014/main" id="{25473943-BD6E-49E1-9197-46774B8C1E0A}"/>
            </a:ext>
          </a:extLst>
        </xdr:cNvPr>
        <xdr:cNvSpPr txBox="1"/>
      </xdr:nvSpPr>
      <xdr:spPr>
        <a:xfrm>
          <a:off x="10776262" y="13193846"/>
          <a:ext cx="824450" cy="40712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VASTANE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18</xdr:col>
      <xdr:colOff>249540</xdr:colOff>
      <xdr:row>71</xdr:row>
      <xdr:rowOff>108467</xdr:rowOff>
    </xdr:from>
    <xdr:to>
      <xdr:col>19</xdr:col>
      <xdr:colOff>397650</xdr:colOff>
      <xdr:row>73</xdr:row>
      <xdr:rowOff>147730</xdr:rowOff>
    </xdr:to>
    <xdr:sp macro="" textlink="">
      <xdr:nvSpPr>
        <xdr:cNvPr id="729" name="TextBox 728">
          <a:extLst>
            <a:ext uri="{FF2B5EF4-FFF2-40B4-BE49-F238E27FC236}">
              <a16:creationId xmlns:a16="http://schemas.microsoft.com/office/drawing/2014/main" id="{6D11BEC2-7952-4475-9780-808AB34DECC7}"/>
            </a:ext>
          </a:extLst>
        </xdr:cNvPr>
        <xdr:cNvSpPr txBox="1"/>
      </xdr:nvSpPr>
      <xdr:spPr>
        <a:xfrm>
          <a:off x="11600712" y="13193846"/>
          <a:ext cx="778731" cy="40712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VASTANE%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549521</xdr:colOff>
      <xdr:row>73</xdr:row>
      <xdr:rowOff>143920</xdr:rowOff>
    </xdr:from>
    <xdr:to>
      <xdr:col>14</xdr:col>
      <xdr:colOff>384331</xdr:colOff>
      <xdr:row>75</xdr:row>
      <xdr:rowOff>139871</xdr:rowOff>
    </xdr:to>
    <xdr:sp macro="" textlink="">
      <xdr:nvSpPr>
        <xdr:cNvPr id="730" name="TextBox 729">
          <a:extLst>
            <a:ext uri="{FF2B5EF4-FFF2-40B4-BE49-F238E27FC236}">
              <a16:creationId xmlns:a16="http://schemas.microsoft.com/office/drawing/2014/main" id="{796014AF-38D9-4B7D-9827-8BDE1A901C53}"/>
            </a:ext>
          </a:extLst>
        </xdr:cNvPr>
        <xdr:cNvSpPr txBox="1"/>
      </xdr:nvSpPr>
      <xdr:spPr>
        <a:xfrm>
          <a:off x="7847136" y="13544862"/>
          <a:ext cx="1051080" cy="36229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PEALELÖÖKE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384330</xdr:colOff>
      <xdr:row>73</xdr:row>
      <xdr:rowOff>147730</xdr:rowOff>
    </xdr:from>
    <xdr:to>
      <xdr:col>15</xdr:col>
      <xdr:colOff>553395</xdr:colOff>
      <xdr:row>75</xdr:row>
      <xdr:rowOff>143681</xdr:rowOff>
    </xdr:to>
    <xdr:sp macro="" textlink="ANALYSIS!G96">
      <xdr:nvSpPr>
        <xdr:cNvPr id="731" name="TextBox 730">
          <a:extLst>
            <a:ext uri="{FF2B5EF4-FFF2-40B4-BE49-F238E27FC236}">
              <a16:creationId xmlns:a16="http://schemas.microsoft.com/office/drawing/2014/main" id="{BED319F3-7220-4884-B988-DBF76E50AA7C}"/>
            </a:ext>
          </a:extLst>
        </xdr:cNvPr>
        <xdr:cNvSpPr txBox="1"/>
      </xdr:nvSpPr>
      <xdr:spPr>
        <a:xfrm>
          <a:off x="9213020" y="13600971"/>
          <a:ext cx="799685" cy="36381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D470498-2FDD-40B5-85F7-E301368D68D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6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73</xdr:row>
      <xdr:rowOff>147730</xdr:rowOff>
    </xdr:from>
    <xdr:to>
      <xdr:col>17</xdr:col>
      <xdr:colOff>55710</xdr:colOff>
      <xdr:row>75</xdr:row>
      <xdr:rowOff>143681</xdr:rowOff>
    </xdr:to>
    <xdr:sp macro="" textlink="">
      <xdr:nvSpPr>
        <xdr:cNvPr id="732" name="TextBox 731">
          <a:extLst>
            <a:ext uri="{FF2B5EF4-FFF2-40B4-BE49-F238E27FC236}">
              <a16:creationId xmlns:a16="http://schemas.microsoft.com/office/drawing/2014/main" id="{B8390CC7-F6CD-424F-9F58-4C2F645BC2E7}"/>
            </a:ext>
          </a:extLst>
        </xdr:cNvPr>
        <xdr:cNvSpPr txBox="1"/>
      </xdr:nvSpPr>
      <xdr:spPr>
        <a:xfrm>
          <a:off x="10012705" y="13600971"/>
          <a:ext cx="763557" cy="363813"/>
        </a:xfrm>
        <a:prstGeom prst="rect">
          <a:avLst/>
        </a:prstGeom>
        <a:pattFill prst="wdUpDiag">
          <a:fgClr>
            <a:schemeClr val="tx1">
              <a:lumMod val="50000"/>
              <a:lumOff val="50000"/>
            </a:schemeClr>
          </a:fgClr>
          <a:bgClr>
            <a:schemeClr val="bg1"/>
          </a:bgClr>
        </a:pattFill>
        <a:ln w="9525" cmpd="sng">
          <a:solidFill>
            <a:srgbClr val="000000">
              <a:alpha val="99000"/>
            </a:srgb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endParaRPr lang="et-EE" sz="1100"/>
        </a:p>
      </xdr:txBody>
    </xdr:sp>
    <xdr:clientData/>
  </xdr:twoCellAnchor>
  <xdr:twoCellAnchor>
    <xdr:from>
      <xdr:col>17</xdr:col>
      <xdr:colOff>55710</xdr:colOff>
      <xdr:row>73</xdr:row>
      <xdr:rowOff>147730</xdr:rowOff>
    </xdr:from>
    <xdr:to>
      <xdr:col>18</xdr:col>
      <xdr:colOff>249540</xdr:colOff>
      <xdr:row>75</xdr:row>
      <xdr:rowOff>143681</xdr:rowOff>
    </xdr:to>
    <xdr:sp macro="" textlink="ANALYSIS!I96">
      <xdr:nvSpPr>
        <xdr:cNvPr id="733" name="TextBox 732">
          <a:extLst>
            <a:ext uri="{FF2B5EF4-FFF2-40B4-BE49-F238E27FC236}">
              <a16:creationId xmlns:a16="http://schemas.microsoft.com/office/drawing/2014/main" id="{2624FBDC-9B45-48AD-A82D-C2D82B41D931}"/>
            </a:ext>
          </a:extLst>
        </xdr:cNvPr>
        <xdr:cNvSpPr txBox="1"/>
      </xdr:nvSpPr>
      <xdr:spPr>
        <a:xfrm>
          <a:off x="10776262" y="13600971"/>
          <a:ext cx="824450" cy="36381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802743F-0DE5-4A18-9008-816D97B6F98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14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73</xdr:row>
      <xdr:rowOff>147730</xdr:rowOff>
    </xdr:from>
    <xdr:to>
      <xdr:col>19</xdr:col>
      <xdr:colOff>397650</xdr:colOff>
      <xdr:row>75</xdr:row>
      <xdr:rowOff>143681</xdr:rowOff>
    </xdr:to>
    <xdr:sp macro="" textlink="">
      <xdr:nvSpPr>
        <xdr:cNvPr id="734" name="TextBox 733">
          <a:extLst>
            <a:ext uri="{FF2B5EF4-FFF2-40B4-BE49-F238E27FC236}">
              <a16:creationId xmlns:a16="http://schemas.microsoft.com/office/drawing/2014/main" id="{DD212DD9-B0D7-4CDC-80E3-62E68405DFB0}"/>
            </a:ext>
          </a:extLst>
        </xdr:cNvPr>
        <xdr:cNvSpPr txBox="1"/>
      </xdr:nvSpPr>
      <xdr:spPr>
        <a:xfrm>
          <a:off x="11600712" y="13600971"/>
          <a:ext cx="778731" cy="363813"/>
        </a:xfrm>
        <a:prstGeom prst="rect">
          <a:avLst/>
        </a:prstGeom>
        <a:pattFill prst="wdUpDiag">
          <a:fgClr>
            <a:schemeClr val="tx1">
              <a:lumMod val="50000"/>
              <a:lumOff val="50000"/>
            </a:schemeClr>
          </a:fgClr>
          <a:bgClr>
            <a:schemeClr val="bg1"/>
          </a:bgClr>
        </a:patt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endParaRPr lang="et-EE" sz="1100"/>
        </a:p>
      </xdr:txBody>
    </xdr:sp>
    <xdr:clientData/>
  </xdr:twoCellAnchor>
  <xdr:twoCellAnchor>
    <xdr:from>
      <xdr:col>12</xdr:col>
      <xdr:colOff>549521</xdr:colOff>
      <xdr:row>75</xdr:row>
      <xdr:rowOff>139871</xdr:rowOff>
    </xdr:from>
    <xdr:to>
      <xdr:col>14</xdr:col>
      <xdr:colOff>384331</xdr:colOff>
      <xdr:row>77</xdr:row>
      <xdr:rowOff>170111</xdr:rowOff>
    </xdr:to>
    <xdr:sp macro="" textlink="">
      <xdr:nvSpPr>
        <xdr:cNvPr id="735" name="TextBox 734">
          <a:extLst>
            <a:ext uri="{FF2B5EF4-FFF2-40B4-BE49-F238E27FC236}">
              <a16:creationId xmlns:a16="http://schemas.microsoft.com/office/drawing/2014/main" id="{2786D395-0375-4B85-B6BD-B413240E7846}"/>
            </a:ext>
          </a:extLst>
        </xdr:cNvPr>
        <xdr:cNvSpPr txBox="1"/>
      </xdr:nvSpPr>
      <xdr:spPr>
        <a:xfrm>
          <a:off x="7847136" y="13907159"/>
          <a:ext cx="1051080" cy="39658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HIGHPRESS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384330</xdr:colOff>
      <xdr:row>75</xdr:row>
      <xdr:rowOff>143681</xdr:rowOff>
    </xdr:from>
    <xdr:to>
      <xdr:col>15</xdr:col>
      <xdr:colOff>553395</xdr:colOff>
      <xdr:row>77</xdr:row>
      <xdr:rowOff>177731</xdr:rowOff>
    </xdr:to>
    <xdr:sp macro="" textlink="ANALYSIS!G97">
      <xdr:nvSpPr>
        <xdr:cNvPr id="736" name="TextBox 735">
          <a:extLst>
            <a:ext uri="{FF2B5EF4-FFF2-40B4-BE49-F238E27FC236}">
              <a16:creationId xmlns:a16="http://schemas.microsoft.com/office/drawing/2014/main" id="{429EBA2A-FDA0-414B-97D5-070CFAF4C1CA}"/>
            </a:ext>
          </a:extLst>
        </xdr:cNvPr>
        <xdr:cNvSpPr txBox="1"/>
      </xdr:nvSpPr>
      <xdr:spPr>
        <a:xfrm>
          <a:off x="9213020" y="13964784"/>
          <a:ext cx="799685" cy="40191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A5748D8-9416-4FB1-ABF6-50FFA9235D0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75</xdr:row>
      <xdr:rowOff>143681</xdr:rowOff>
    </xdr:from>
    <xdr:to>
      <xdr:col>17</xdr:col>
      <xdr:colOff>55710</xdr:colOff>
      <xdr:row>77</xdr:row>
      <xdr:rowOff>177731</xdr:rowOff>
    </xdr:to>
    <xdr:sp macro="" textlink="ANALYSIS!H97">
      <xdr:nvSpPr>
        <xdr:cNvPr id="737" name="TextBox 736">
          <a:extLst>
            <a:ext uri="{FF2B5EF4-FFF2-40B4-BE49-F238E27FC236}">
              <a16:creationId xmlns:a16="http://schemas.microsoft.com/office/drawing/2014/main" id="{5C1006A9-E158-4091-8F4D-0FA628654B5A}"/>
            </a:ext>
          </a:extLst>
        </xdr:cNvPr>
        <xdr:cNvSpPr txBox="1"/>
      </xdr:nvSpPr>
      <xdr:spPr>
        <a:xfrm>
          <a:off x="10012705" y="13964784"/>
          <a:ext cx="763557" cy="40191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07368BE-E8C5-4841-AB5A-AF14AEF6F64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33%</a:t>
          </a:fld>
          <a:endParaRPr lang="et-EE" sz="1100"/>
        </a:p>
      </xdr:txBody>
    </xdr:sp>
    <xdr:clientData/>
  </xdr:twoCellAnchor>
  <xdr:twoCellAnchor>
    <xdr:from>
      <xdr:col>17</xdr:col>
      <xdr:colOff>55710</xdr:colOff>
      <xdr:row>75</xdr:row>
      <xdr:rowOff>143681</xdr:rowOff>
    </xdr:from>
    <xdr:to>
      <xdr:col>18</xdr:col>
      <xdr:colOff>249540</xdr:colOff>
      <xdr:row>77</xdr:row>
      <xdr:rowOff>177731</xdr:rowOff>
    </xdr:to>
    <xdr:sp macro="" textlink="ANALYSIS!I97">
      <xdr:nvSpPr>
        <xdr:cNvPr id="738" name="TextBox 737">
          <a:extLst>
            <a:ext uri="{FF2B5EF4-FFF2-40B4-BE49-F238E27FC236}">
              <a16:creationId xmlns:a16="http://schemas.microsoft.com/office/drawing/2014/main" id="{2F16BB89-D1A7-40BC-B061-447E4237465F}"/>
            </a:ext>
          </a:extLst>
        </xdr:cNvPr>
        <xdr:cNvSpPr txBox="1"/>
      </xdr:nvSpPr>
      <xdr:spPr>
        <a:xfrm>
          <a:off x="10776262" y="13964784"/>
          <a:ext cx="824450" cy="40191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78077CB-6B06-4328-BBDB-898E7583B71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75</xdr:row>
      <xdr:rowOff>143681</xdr:rowOff>
    </xdr:from>
    <xdr:to>
      <xdr:col>19</xdr:col>
      <xdr:colOff>397650</xdr:colOff>
      <xdr:row>77</xdr:row>
      <xdr:rowOff>177731</xdr:rowOff>
    </xdr:to>
    <xdr:sp macro="" textlink="ANALYSIS!J97">
      <xdr:nvSpPr>
        <xdr:cNvPr id="739" name="TextBox 738">
          <a:extLst>
            <a:ext uri="{FF2B5EF4-FFF2-40B4-BE49-F238E27FC236}">
              <a16:creationId xmlns:a16="http://schemas.microsoft.com/office/drawing/2014/main" id="{591953CF-AB48-4E4D-975E-9A6FF0031035}"/>
            </a:ext>
          </a:extLst>
        </xdr:cNvPr>
        <xdr:cNvSpPr txBox="1"/>
      </xdr:nvSpPr>
      <xdr:spPr>
        <a:xfrm>
          <a:off x="11600712" y="13964784"/>
          <a:ext cx="778731" cy="40191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84E74AE-6C8C-405A-9F9F-EF81E30EBB9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12</xdr:col>
      <xdr:colOff>549521</xdr:colOff>
      <xdr:row>77</xdr:row>
      <xdr:rowOff>170111</xdr:rowOff>
    </xdr:from>
    <xdr:to>
      <xdr:col>14</xdr:col>
      <xdr:colOff>384331</xdr:colOff>
      <xdr:row>80</xdr:row>
      <xdr:rowOff>37374</xdr:rowOff>
    </xdr:to>
    <xdr:sp macro="" textlink="">
      <xdr:nvSpPr>
        <xdr:cNvPr id="740" name="TextBox 739">
          <a:extLst>
            <a:ext uri="{FF2B5EF4-FFF2-40B4-BE49-F238E27FC236}">
              <a16:creationId xmlns:a16="http://schemas.microsoft.com/office/drawing/2014/main" id="{62829D57-066B-4E22-8342-7C6ECAA8E551}"/>
            </a:ext>
          </a:extLst>
        </xdr:cNvPr>
        <xdr:cNvSpPr txBox="1"/>
      </xdr:nvSpPr>
      <xdr:spPr>
        <a:xfrm>
          <a:off x="7847136" y="14303746"/>
          <a:ext cx="1051080" cy="41678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MIDPRESS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384330</xdr:colOff>
      <xdr:row>77</xdr:row>
      <xdr:rowOff>177731</xdr:rowOff>
    </xdr:from>
    <xdr:to>
      <xdr:col>15</xdr:col>
      <xdr:colOff>553395</xdr:colOff>
      <xdr:row>80</xdr:row>
      <xdr:rowOff>37374</xdr:rowOff>
    </xdr:to>
    <xdr:sp macro="" textlink="ANALYSIS!G98">
      <xdr:nvSpPr>
        <xdr:cNvPr id="741" name="TextBox 740">
          <a:extLst>
            <a:ext uri="{FF2B5EF4-FFF2-40B4-BE49-F238E27FC236}">
              <a16:creationId xmlns:a16="http://schemas.microsoft.com/office/drawing/2014/main" id="{93958E5B-8732-4213-B5FA-4DF45D2AB46E}"/>
            </a:ext>
          </a:extLst>
        </xdr:cNvPr>
        <xdr:cNvSpPr txBox="1"/>
      </xdr:nvSpPr>
      <xdr:spPr>
        <a:xfrm>
          <a:off x="9213020" y="14366697"/>
          <a:ext cx="799685" cy="41143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2D1D1E8-1DFC-41DB-8302-6E773C7D7FE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77</xdr:row>
      <xdr:rowOff>177731</xdr:rowOff>
    </xdr:from>
    <xdr:to>
      <xdr:col>17</xdr:col>
      <xdr:colOff>55710</xdr:colOff>
      <xdr:row>80</xdr:row>
      <xdr:rowOff>37374</xdr:rowOff>
    </xdr:to>
    <xdr:sp macro="" textlink="ANALYSIS!H98">
      <xdr:nvSpPr>
        <xdr:cNvPr id="742" name="TextBox 741">
          <a:extLst>
            <a:ext uri="{FF2B5EF4-FFF2-40B4-BE49-F238E27FC236}">
              <a16:creationId xmlns:a16="http://schemas.microsoft.com/office/drawing/2014/main" id="{FABEB440-2CCD-4950-8F8C-79656AD09B19}"/>
            </a:ext>
          </a:extLst>
        </xdr:cNvPr>
        <xdr:cNvSpPr txBox="1"/>
      </xdr:nvSpPr>
      <xdr:spPr>
        <a:xfrm>
          <a:off x="10012705" y="14366697"/>
          <a:ext cx="763557" cy="41143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C235BE7-11CC-42B1-AA07-B43F824E1BF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17%</a:t>
          </a:fld>
          <a:endParaRPr lang="et-EE" sz="1100"/>
        </a:p>
      </xdr:txBody>
    </xdr:sp>
    <xdr:clientData/>
  </xdr:twoCellAnchor>
  <xdr:twoCellAnchor>
    <xdr:from>
      <xdr:col>17</xdr:col>
      <xdr:colOff>55710</xdr:colOff>
      <xdr:row>77</xdr:row>
      <xdr:rowOff>177731</xdr:rowOff>
    </xdr:from>
    <xdr:to>
      <xdr:col>18</xdr:col>
      <xdr:colOff>249540</xdr:colOff>
      <xdr:row>80</xdr:row>
      <xdr:rowOff>37374</xdr:rowOff>
    </xdr:to>
    <xdr:sp macro="" textlink="ANALYSIS!I98">
      <xdr:nvSpPr>
        <xdr:cNvPr id="743" name="TextBox 742">
          <a:extLst>
            <a:ext uri="{FF2B5EF4-FFF2-40B4-BE49-F238E27FC236}">
              <a16:creationId xmlns:a16="http://schemas.microsoft.com/office/drawing/2014/main" id="{6CBE2A22-35FD-47AB-98B5-707D79DF98A7}"/>
            </a:ext>
          </a:extLst>
        </xdr:cNvPr>
        <xdr:cNvSpPr txBox="1"/>
      </xdr:nvSpPr>
      <xdr:spPr>
        <a:xfrm>
          <a:off x="10776262" y="14366697"/>
          <a:ext cx="824450" cy="41143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9318DE7-0F77-4485-85A6-9A2FEFF577C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77</xdr:row>
      <xdr:rowOff>177731</xdr:rowOff>
    </xdr:from>
    <xdr:to>
      <xdr:col>19</xdr:col>
      <xdr:colOff>397650</xdr:colOff>
      <xdr:row>80</xdr:row>
      <xdr:rowOff>37374</xdr:rowOff>
    </xdr:to>
    <xdr:sp macro="" textlink="ANALYSIS!J98">
      <xdr:nvSpPr>
        <xdr:cNvPr id="744" name="TextBox 743">
          <a:extLst>
            <a:ext uri="{FF2B5EF4-FFF2-40B4-BE49-F238E27FC236}">
              <a16:creationId xmlns:a16="http://schemas.microsoft.com/office/drawing/2014/main" id="{E9F785D4-9213-4CEC-88BE-BF3CFF4BD4CE}"/>
            </a:ext>
          </a:extLst>
        </xdr:cNvPr>
        <xdr:cNvSpPr txBox="1"/>
      </xdr:nvSpPr>
      <xdr:spPr>
        <a:xfrm>
          <a:off x="11600712" y="14366697"/>
          <a:ext cx="778731" cy="41143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FDAA751-5E1F-492F-BE96-8E184890B26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7%</a:t>
          </a:fld>
          <a:endParaRPr lang="et-EE" sz="1100"/>
        </a:p>
      </xdr:txBody>
    </xdr:sp>
    <xdr:clientData/>
  </xdr:twoCellAnchor>
  <xdr:twoCellAnchor>
    <xdr:from>
      <xdr:col>12</xdr:col>
      <xdr:colOff>549521</xdr:colOff>
      <xdr:row>80</xdr:row>
      <xdr:rowOff>37374</xdr:rowOff>
    </xdr:from>
    <xdr:to>
      <xdr:col>14</xdr:col>
      <xdr:colOff>384331</xdr:colOff>
      <xdr:row>82</xdr:row>
      <xdr:rowOff>65710</xdr:rowOff>
    </xdr:to>
    <xdr:sp macro="" textlink="">
      <xdr:nvSpPr>
        <xdr:cNvPr id="745" name="TextBox 744">
          <a:extLst>
            <a:ext uri="{FF2B5EF4-FFF2-40B4-BE49-F238E27FC236}">
              <a16:creationId xmlns:a16="http://schemas.microsoft.com/office/drawing/2014/main" id="{08DFD2EA-C387-4543-9F00-93F5974B58AF}"/>
            </a:ext>
          </a:extLst>
        </xdr:cNvPr>
        <xdr:cNvSpPr txBox="1"/>
      </xdr:nvSpPr>
      <xdr:spPr>
        <a:xfrm>
          <a:off x="7847136" y="14720528"/>
          <a:ext cx="1051080" cy="39468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LOWPRESS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384330</xdr:colOff>
      <xdr:row>80</xdr:row>
      <xdr:rowOff>37374</xdr:rowOff>
    </xdr:from>
    <xdr:to>
      <xdr:col>15</xdr:col>
      <xdr:colOff>553395</xdr:colOff>
      <xdr:row>82</xdr:row>
      <xdr:rowOff>69520</xdr:rowOff>
    </xdr:to>
    <xdr:sp macro="" textlink="ANALYSIS!G99">
      <xdr:nvSpPr>
        <xdr:cNvPr id="746" name="TextBox 745">
          <a:extLst>
            <a:ext uri="{FF2B5EF4-FFF2-40B4-BE49-F238E27FC236}">
              <a16:creationId xmlns:a16="http://schemas.microsoft.com/office/drawing/2014/main" id="{412FDC47-DE1E-40BA-9FE8-1B97E72B35AE}"/>
            </a:ext>
          </a:extLst>
        </xdr:cNvPr>
        <xdr:cNvSpPr txBox="1"/>
      </xdr:nvSpPr>
      <xdr:spPr>
        <a:xfrm>
          <a:off x="9213020" y="14778133"/>
          <a:ext cx="799685" cy="40000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6E66F76-71B6-45E8-908F-13B97C4C700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15</xdr:col>
      <xdr:colOff>553395</xdr:colOff>
      <xdr:row>80</xdr:row>
      <xdr:rowOff>37374</xdr:rowOff>
    </xdr:from>
    <xdr:to>
      <xdr:col>17</xdr:col>
      <xdr:colOff>55710</xdr:colOff>
      <xdr:row>82</xdr:row>
      <xdr:rowOff>69520</xdr:rowOff>
    </xdr:to>
    <xdr:sp macro="" textlink="ANALYSIS!H99">
      <xdr:nvSpPr>
        <xdr:cNvPr id="747" name="TextBox 746">
          <a:extLst>
            <a:ext uri="{FF2B5EF4-FFF2-40B4-BE49-F238E27FC236}">
              <a16:creationId xmlns:a16="http://schemas.microsoft.com/office/drawing/2014/main" id="{F70253C6-FF33-40D2-B2AF-8F383E9E2D33}"/>
            </a:ext>
          </a:extLst>
        </xdr:cNvPr>
        <xdr:cNvSpPr txBox="1"/>
      </xdr:nvSpPr>
      <xdr:spPr>
        <a:xfrm>
          <a:off x="10012705" y="14778133"/>
          <a:ext cx="763557" cy="40000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7AEA0CA-E2B6-46A7-8FEC-A8D8F5624D3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17</xdr:col>
      <xdr:colOff>55710</xdr:colOff>
      <xdr:row>80</xdr:row>
      <xdr:rowOff>37374</xdr:rowOff>
    </xdr:from>
    <xdr:to>
      <xdr:col>18</xdr:col>
      <xdr:colOff>249540</xdr:colOff>
      <xdr:row>82</xdr:row>
      <xdr:rowOff>69520</xdr:rowOff>
    </xdr:to>
    <xdr:sp macro="" textlink="ANALYSIS!I99">
      <xdr:nvSpPr>
        <xdr:cNvPr id="748" name="TextBox 747">
          <a:extLst>
            <a:ext uri="{FF2B5EF4-FFF2-40B4-BE49-F238E27FC236}">
              <a16:creationId xmlns:a16="http://schemas.microsoft.com/office/drawing/2014/main" id="{245CD083-C4E4-4484-B2D1-AD3CD3A5024E}"/>
            </a:ext>
          </a:extLst>
        </xdr:cNvPr>
        <xdr:cNvSpPr txBox="1"/>
      </xdr:nvSpPr>
      <xdr:spPr>
        <a:xfrm>
          <a:off x="10776262" y="14778133"/>
          <a:ext cx="824450" cy="40000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863F301-E5CA-42AD-A4B6-546E7F88B6A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18</xdr:col>
      <xdr:colOff>249540</xdr:colOff>
      <xdr:row>80</xdr:row>
      <xdr:rowOff>37374</xdr:rowOff>
    </xdr:from>
    <xdr:to>
      <xdr:col>19</xdr:col>
      <xdr:colOff>397650</xdr:colOff>
      <xdr:row>82</xdr:row>
      <xdr:rowOff>69520</xdr:rowOff>
    </xdr:to>
    <xdr:sp macro="" textlink="ANALYSIS!J99">
      <xdr:nvSpPr>
        <xdr:cNvPr id="749" name="TextBox 748">
          <a:extLst>
            <a:ext uri="{FF2B5EF4-FFF2-40B4-BE49-F238E27FC236}">
              <a16:creationId xmlns:a16="http://schemas.microsoft.com/office/drawing/2014/main" id="{69D06E3F-A0DC-4469-80B1-047831E44F59}"/>
            </a:ext>
          </a:extLst>
        </xdr:cNvPr>
        <xdr:cNvSpPr txBox="1"/>
      </xdr:nvSpPr>
      <xdr:spPr>
        <a:xfrm>
          <a:off x="11600712" y="14778133"/>
          <a:ext cx="778731" cy="40000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0F08FE1-C22C-468B-91B1-C559B8B2169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14</xdr:col>
      <xdr:colOff>363969</xdr:colOff>
      <xdr:row>83</xdr:row>
      <xdr:rowOff>138653</xdr:rowOff>
    </xdr:from>
    <xdr:to>
      <xdr:col>15</xdr:col>
      <xdr:colOff>550179</xdr:colOff>
      <xdr:row>85</xdr:row>
      <xdr:rowOff>164229</xdr:rowOff>
    </xdr:to>
    <xdr:sp macro="" textlink="">
      <xdr:nvSpPr>
        <xdr:cNvPr id="751" name="TextBox 750">
          <a:extLst>
            <a:ext uri="{FF2B5EF4-FFF2-40B4-BE49-F238E27FC236}">
              <a16:creationId xmlns:a16="http://schemas.microsoft.com/office/drawing/2014/main" id="{EFA163A6-FD8A-413F-B3A8-B9BED4E85C5A}"/>
            </a:ext>
          </a:extLst>
        </xdr:cNvPr>
        <xdr:cNvSpPr txBox="1"/>
      </xdr:nvSpPr>
      <xdr:spPr>
        <a:xfrm>
          <a:off x="9192659" y="15431205"/>
          <a:ext cx="816830" cy="393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EESTI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15</xdr:col>
      <xdr:colOff>550179</xdr:colOff>
      <xdr:row>83</xdr:row>
      <xdr:rowOff>138653</xdr:rowOff>
    </xdr:from>
    <xdr:to>
      <xdr:col>17</xdr:col>
      <xdr:colOff>22014</xdr:colOff>
      <xdr:row>85</xdr:row>
      <xdr:rowOff>164229</xdr:rowOff>
    </xdr:to>
    <xdr:sp macro="" textlink="">
      <xdr:nvSpPr>
        <xdr:cNvPr id="752" name="TextBox 751">
          <a:extLst>
            <a:ext uri="{FF2B5EF4-FFF2-40B4-BE49-F238E27FC236}">
              <a16:creationId xmlns:a16="http://schemas.microsoft.com/office/drawing/2014/main" id="{127E3862-1987-4A90-9B90-DBA9C0D7CB7E}"/>
            </a:ext>
          </a:extLst>
        </xdr:cNvPr>
        <xdr:cNvSpPr txBox="1"/>
      </xdr:nvSpPr>
      <xdr:spPr>
        <a:xfrm>
          <a:off x="10009489" y="15431205"/>
          <a:ext cx="733077" cy="393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EESTI%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17</xdr:col>
      <xdr:colOff>22014</xdr:colOff>
      <xdr:row>83</xdr:row>
      <xdr:rowOff>138653</xdr:rowOff>
    </xdr:from>
    <xdr:to>
      <xdr:col>18</xdr:col>
      <xdr:colOff>248229</xdr:colOff>
      <xdr:row>85</xdr:row>
      <xdr:rowOff>164229</xdr:rowOff>
    </xdr:to>
    <xdr:sp macro="" textlink="">
      <xdr:nvSpPr>
        <xdr:cNvPr id="753" name="TextBox 752">
          <a:extLst>
            <a:ext uri="{FF2B5EF4-FFF2-40B4-BE49-F238E27FC236}">
              <a16:creationId xmlns:a16="http://schemas.microsoft.com/office/drawing/2014/main" id="{9B5EDE83-A095-4279-B75F-22A4B5A79A28}"/>
            </a:ext>
          </a:extLst>
        </xdr:cNvPr>
        <xdr:cNvSpPr txBox="1"/>
      </xdr:nvSpPr>
      <xdr:spPr>
        <a:xfrm>
          <a:off x="10742566" y="15431205"/>
          <a:ext cx="856835" cy="393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VASTANE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18</xdr:col>
      <xdr:colOff>248229</xdr:colOff>
      <xdr:row>83</xdr:row>
      <xdr:rowOff>138653</xdr:rowOff>
    </xdr:from>
    <xdr:to>
      <xdr:col>19</xdr:col>
      <xdr:colOff>402054</xdr:colOff>
      <xdr:row>85</xdr:row>
      <xdr:rowOff>164229</xdr:rowOff>
    </xdr:to>
    <xdr:sp macro="" textlink="">
      <xdr:nvSpPr>
        <xdr:cNvPr id="754" name="TextBox 753">
          <a:extLst>
            <a:ext uri="{FF2B5EF4-FFF2-40B4-BE49-F238E27FC236}">
              <a16:creationId xmlns:a16="http://schemas.microsoft.com/office/drawing/2014/main" id="{36EB7125-0DFB-4C7E-92B9-A15943FB1809}"/>
            </a:ext>
          </a:extLst>
        </xdr:cNvPr>
        <xdr:cNvSpPr txBox="1"/>
      </xdr:nvSpPr>
      <xdr:spPr>
        <a:xfrm>
          <a:off x="11599401" y="15431205"/>
          <a:ext cx="784446" cy="39343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VASTANE%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556848</xdr:colOff>
      <xdr:row>85</xdr:row>
      <xdr:rowOff>171849</xdr:rowOff>
    </xdr:from>
    <xdr:to>
      <xdr:col>14</xdr:col>
      <xdr:colOff>363970</xdr:colOff>
      <xdr:row>87</xdr:row>
      <xdr:rowOff>167800</xdr:rowOff>
    </xdr:to>
    <xdr:sp macro="" textlink="">
      <xdr:nvSpPr>
        <xdr:cNvPr id="755" name="TextBox 754">
          <a:extLst>
            <a:ext uri="{FF2B5EF4-FFF2-40B4-BE49-F238E27FC236}">
              <a16:creationId xmlns:a16="http://schemas.microsoft.com/office/drawing/2014/main" id="{3522408A-C0BC-4E01-B352-B734031125D0}"/>
            </a:ext>
          </a:extLst>
        </xdr:cNvPr>
        <xdr:cNvSpPr txBox="1"/>
      </xdr:nvSpPr>
      <xdr:spPr>
        <a:xfrm>
          <a:off x="7854463" y="15770868"/>
          <a:ext cx="1023392" cy="36229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VÄRAVAID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363969</xdr:colOff>
      <xdr:row>85</xdr:row>
      <xdr:rowOff>164229</xdr:rowOff>
    </xdr:from>
    <xdr:to>
      <xdr:col>15</xdr:col>
      <xdr:colOff>550179</xdr:colOff>
      <xdr:row>87</xdr:row>
      <xdr:rowOff>162085</xdr:rowOff>
    </xdr:to>
    <xdr:sp macro="" textlink="ANALYSIS!G101">
      <xdr:nvSpPr>
        <xdr:cNvPr id="756" name="TextBox 755">
          <a:extLst>
            <a:ext uri="{FF2B5EF4-FFF2-40B4-BE49-F238E27FC236}">
              <a16:creationId xmlns:a16="http://schemas.microsoft.com/office/drawing/2014/main" id="{A269DD45-7FFD-4422-8897-C118F02E459C}"/>
            </a:ext>
          </a:extLst>
        </xdr:cNvPr>
        <xdr:cNvSpPr txBox="1"/>
      </xdr:nvSpPr>
      <xdr:spPr>
        <a:xfrm>
          <a:off x="9192659" y="15824643"/>
          <a:ext cx="816830" cy="36571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234AA53-0F3E-4CDD-8865-C9C6F06C31E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15</xdr:col>
      <xdr:colOff>550179</xdr:colOff>
      <xdr:row>85</xdr:row>
      <xdr:rowOff>164229</xdr:rowOff>
    </xdr:from>
    <xdr:to>
      <xdr:col>17</xdr:col>
      <xdr:colOff>22014</xdr:colOff>
      <xdr:row>87</xdr:row>
      <xdr:rowOff>162085</xdr:rowOff>
    </xdr:to>
    <xdr:sp macro="" textlink="">
      <xdr:nvSpPr>
        <xdr:cNvPr id="757" name="TextBox 756">
          <a:extLst>
            <a:ext uri="{FF2B5EF4-FFF2-40B4-BE49-F238E27FC236}">
              <a16:creationId xmlns:a16="http://schemas.microsoft.com/office/drawing/2014/main" id="{2ADACD63-1B29-4517-9C7C-FF3DA65D0504}"/>
            </a:ext>
          </a:extLst>
        </xdr:cNvPr>
        <xdr:cNvSpPr txBox="1"/>
      </xdr:nvSpPr>
      <xdr:spPr>
        <a:xfrm>
          <a:off x="10009489" y="15824643"/>
          <a:ext cx="733077" cy="365718"/>
        </a:xfrm>
        <a:prstGeom prst="rect">
          <a:avLst/>
        </a:prstGeom>
        <a:pattFill prst="wdUpDiag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endParaRPr lang="et-EE" sz="1100"/>
        </a:p>
      </xdr:txBody>
    </xdr:sp>
    <xdr:clientData/>
  </xdr:twoCellAnchor>
  <xdr:twoCellAnchor>
    <xdr:from>
      <xdr:col>17</xdr:col>
      <xdr:colOff>22014</xdr:colOff>
      <xdr:row>85</xdr:row>
      <xdr:rowOff>164229</xdr:rowOff>
    </xdr:from>
    <xdr:to>
      <xdr:col>18</xdr:col>
      <xdr:colOff>248229</xdr:colOff>
      <xdr:row>87</xdr:row>
      <xdr:rowOff>162085</xdr:rowOff>
    </xdr:to>
    <xdr:sp macro="" textlink="ANALYSIS!I101">
      <xdr:nvSpPr>
        <xdr:cNvPr id="758" name="TextBox 757">
          <a:extLst>
            <a:ext uri="{FF2B5EF4-FFF2-40B4-BE49-F238E27FC236}">
              <a16:creationId xmlns:a16="http://schemas.microsoft.com/office/drawing/2014/main" id="{9A2A2296-2C3A-4895-B115-6FCE66905861}"/>
            </a:ext>
          </a:extLst>
        </xdr:cNvPr>
        <xdr:cNvSpPr txBox="1"/>
      </xdr:nvSpPr>
      <xdr:spPr>
        <a:xfrm>
          <a:off x="10742566" y="15824643"/>
          <a:ext cx="856835" cy="36571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0BEE3C8-BB4B-44B5-9C02-1C3E0744D25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4</a:t>
          </a:fld>
          <a:endParaRPr lang="et-EE" sz="1100"/>
        </a:p>
      </xdr:txBody>
    </xdr:sp>
    <xdr:clientData/>
  </xdr:twoCellAnchor>
  <xdr:twoCellAnchor>
    <xdr:from>
      <xdr:col>18</xdr:col>
      <xdr:colOff>248229</xdr:colOff>
      <xdr:row>85</xdr:row>
      <xdr:rowOff>164229</xdr:rowOff>
    </xdr:from>
    <xdr:to>
      <xdr:col>19</xdr:col>
      <xdr:colOff>402054</xdr:colOff>
      <xdr:row>87</xdr:row>
      <xdr:rowOff>162085</xdr:rowOff>
    </xdr:to>
    <xdr:sp macro="" textlink="">
      <xdr:nvSpPr>
        <xdr:cNvPr id="759" name="TextBox 758">
          <a:extLst>
            <a:ext uri="{FF2B5EF4-FFF2-40B4-BE49-F238E27FC236}">
              <a16:creationId xmlns:a16="http://schemas.microsoft.com/office/drawing/2014/main" id="{C6B1C5F2-00CC-45CA-A3CE-51093812B8D7}"/>
            </a:ext>
          </a:extLst>
        </xdr:cNvPr>
        <xdr:cNvSpPr txBox="1"/>
      </xdr:nvSpPr>
      <xdr:spPr>
        <a:xfrm>
          <a:off x="11599401" y="15824643"/>
          <a:ext cx="784446" cy="365718"/>
        </a:xfrm>
        <a:prstGeom prst="rect">
          <a:avLst/>
        </a:prstGeom>
        <a:pattFill prst="wdUpDiag">
          <a:fgClr>
            <a:schemeClr val="tx1">
              <a:lumMod val="50000"/>
              <a:lumOff val="50000"/>
            </a:schemeClr>
          </a:fgClr>
          <a:bgClr>
            <a:schemeClr val="bg1"/>
          </a:bgClr>
        </a:patt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endParaRPr lang="et-EE" sz="1100"/>
        </a:p>
      </xdr:txBody>
    </xdr:sp>
    <xdr:clientData/>
  </xdr:twoCellAnchor>
  <xdr:twoCellAnchor>
    <xdr:from>
      <xdr:col>12</xdr:col>
      <xdr:colOff>556848</xdr:colOff>
      <xdr:row>87</xdr:row>
      <xdr:rowOff>167800</xdr:rowOff>
    </xdr:from>
    <xdr:to>
      <xdr:col>14</xdr:col>
      <xdr:colOff>363970</xdr:colOff>
      <xdr:row>90</xdr:row>
      <xdr:rowOff>19823</xdr:rowOff>
    </xdr:to>
    <xdr:sp macro="" textlink="">
      <xdr:nvSpPr>
        <xdr:cNvPr id="760" name="TextBox 759">
          <a:extLst>
            <a:ext uri="{FF2B5EF4-FFF2-40B4-BE49-F238E27FC236}">
              <a16:creationId xmlns:a16="http://schemas.microsoft.com/office/drawing/2014/main" id="{2D646050-D3C3-4069-A7A1-E4D606522841}"/>
            </a:ext>
          </a:extLst>
        </xdr:cNvPr>
        <xdr:cNvSpPr txBox="1"/>
      </xdr:nvSpPr>
      <xdr:spPr>
        <a:xfrm>
          <a:off x="7854463" y="16133165"/>
          <a:ext cx="1023392" cy="40154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HIGHPRESS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363969</xdr:colOff>
      <xdr:row>87</xdr:row>
      <xdr:rowOff>162085</xdr:rowOff>
    </xdr:from>
    <xdr:to>
      <xdr:col>15</xdr:col>
      <xdr:colOff>550179</xdr:colOff>
      <xdr:row>90</xdr:row>
      <xdr:rowOff>12203</xdr:rowOff>
    </xdr:to>
    <xdr:sp macro="" textlink="ANALYSIS!G102">
      <xdr:nvSpPr>
        <xdr:cNvPr id="761" name="TextBox 760">
          <a:extLst>
            <a:ext uri="{FF2B5EF4-FFF2-40B4-BE49-F238E27FC236}">
              <a16:creationId xmlns:a16="http://schemas.microsoft.com/office/drawing/2014/main" id="{0460CA5D-31A2-47E4-A9B0-A3B9D96F3353}"/>
            </a:ext>
          </a:extLst>
        </xdr:cNvPr>
        <xdr:cNvSpPr txBox="1"/>
      </xdr:nvSpPr>
      <xdr:spPr>
        <a:xfrm>
          <a:off x="9192659" y="16190361"/>
          <a:ext cx="816830" cy="40191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554F605-5CC3-47E2-9D0F-9445FE91295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15</xdr:col>
      <xdr:colOff>550179</xdr:colOff>
      <xdr:row>87</xdr:row>
      <xdr:rowOff>162085</xdr:rowOff>
    </xdr:from>
    <xdr:to>
      <xdr:col>17</xdr:col>
      <xdr:colOff>22014</xdr:colOff>
      <xdr:row>90</xdr:row>
      <xdr:rowOff>12203</xdr:rowOff>
    </xdr:to>
    <xdr:sp macro="" textlink="ANALYSIS!H102">
      <xdr:nvSpPr>
        <xdr:cNvPr id="762" name="TextBox 761">
          <a:extLst>
            <a:ext uri="{FF2B5EF4-FFF2-40B4-BE49-F238E27FC236}">
              <a16:creationId xmlns:a16="http://schemas.microsoft.com/office/drawing/2014/main" id="{E3841113-3FA7-4C13-A918-8077DBC8D911}"/>
            </a:ext>
          </a:extLst>
        </xdr:cNvPr>
        <xdr:cNvSpPr txBox="1"/>
      </xdr:nvSpPr>
      <xdr:spPr>
        <a:xfrm>
          <a:off x="10009489" y="16190361"/>
          <a:ext cx="733077" cy="40191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14F0608-0816-47C9-9AC4-7E7D3C36126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17</xdr:col>
      <xdr:colOff>22014</xdr:colOff>
      <xdr:row>87</xdr:row>
      <xdr:rowOff>162085</xdr:rowOff>
    </xdr:from>
    <xdr:to>
      <xdr:col>18</xdr:col>
      <xdr:colOff>248229</xdr:colOff>
      <xdr:row>90</xdr:row>
      <xdr:rowOff>12203</xdr:rowOff>
    </xdr:to>
    <xdr:sp macro="" textlink="ANALYSIS!I102">
      <xdr:nvSpPr>
        <xdr:cNvPr id="763" name="TextBox 762">
          <a:extLst>
            <a:ext uri="{FF2B5EF4-FFF2-40B4-BE49-F238E27FC236}">
              <a16:creationId xmlns:a16="http://schemas.microsoft.com/office/drawing/2014/main" id="{540AD9C5-B6C3-4446-B71D-D4B851007E42}"/>
            </a:ext>
          </a:extLst>
        </xdr:cNvPr>
        <xdr:cNvSpPr txBox="1"/>
      </xdr:nvSpPr>
      <xdr:spPr>
        <a:xfrm>
          <a:off x="10742566" y="16190361"/>
          <a:ext cx="856835" cy="40191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302DCDC-2DB7-4E0F-B8A8-8F6C5C1ECA0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18</xdr:col>
      <xdr:colOff>248229</xdr:colOff>
      <xdr:row>87</xdr:row>
      <xdr:rowOff>162085</xdr:rowOff>
    </xdr:from>
    <xdr:to>
      <xdr:col>19</xdr:col>
      <xdr:colOff>402054</xdr:colOff>
      <xdr:row>90</xdr:row>
      <xdr:rowOff>12203</xdr:rowOff>
    </xdr:to>
    <xdr:sp macro="" textlink="ANALYSIS!J102">
      <xdr:nvSpPr>
        <xdr:cNvPr id="764" name="TextBox 763">
          <a:extLst>
            <a:ext uri="{FF2B5EF4-FFF2-40B4-BE49-F238E27FC236}">
              <a16:creationId xmlns:a16="http://schemas.microsoft.com/office/drawing/2014/main" id="{0D4648CB-CD77-4F19-B21B-39A950092646}"/>
            </a:ext>
          </a:extLst>
        </xdr:cNvPr>
        <xdr:cNvSpPr txBox="1"/>
      </xdr:nvSpPr>
      <xdr:spPr>
        <a:xfrm>
          <a:off x="11599401" y="16190361"/>
          <a:ext cx="784446" cy="401911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6B08EF5-10EF-451B-BFC6-E5763B9FD75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12</xdr:col>
      <xdr:colOff>556848</xdr:colOff>
      <xdr:row>90</xdr:row>
      <xdr:rowOff>19823</xdr:rowOff>
    </xdr:from>
    <xdr:to>
      <xdr:col>14</xdr:col>
      <xdr:colOff>363970</xdr:colOff>
      <xdr:row>92</xdr:row>
      <xdr:rowOff>53873</xdr:rowOff>
    </xdr:to>
    <xdr:sp macro="" textlink="">
      <xdr:nvSpPr>
        <xdr:cNvPr id="765" name="TextBox 764">
          <a:extLst>
            <a:ext uri="{FF2B5EF4-FFF2-40B4-BE49-F238E27FC236}">
              <a16:creationId xmlns:a16="http://schemas.microsoft.com/office/drawing/2014/main" id="{80E0FE7D-992B-4267-AEB6-0D38B75E6FCC}"/>
            </a:ext>
          </a:extLst>
        </xdr:cNvPr>
        <xdr:cNvSpPr txBox="1"/>
      </xdr:nvSpPr>
      <xdr:spPr>
        <a:xfrm>
          <a:off x="7854463" y="16534708"/>
          <a:ext cx="1023392" cy="40039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MIDPRESS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363969</xdr:colOff>
      <xdr:row>90</xdr:row>
      <xdr:rowOff>12203</xdr:rowOff>
    </xdr:from>
    <xdr:to>
      <xdr:col>15</xdr:col>
      <xdr:colOff>550179</xdr:colOff>
      <xdr:row>92</xdr:row>
      <xdr:rowOff>61493</xdr:rowOff>
    </xdr:to>
    <xdr:sp macro="" textlink="ANALYSIS!G103">
      <xdr:nvSpPr>
        <xdr:cNvPr id="766" name="TextBox 765">
          <a:extLst>
            <a:ext uri="{FF2B5EF4-FFF2-40B4-BE49-F238E27FC236}">
              <a16:creationId xmlns:a16="http://schemas.microsoft.com/office/drawing/2014/main" id="{4D1BAF5B-3100-42C7-A118-347D6B62D622}"/>
            </a:ext>
          </a:extLst>
        </xdr:cNvPr>
        <xdr:cNvSpPr txBox="1"/>
      </xdr:nvSpPr>
      <xdr:spPr>
        <a:xfrm>
          <a:off x="9192659" y="16592272"/>
          <a:ext cx="816830" cy="4171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F1FB1D9-CE7C-43FF-AF22-E0A150D9251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15</xdr:col>
      <xdr:colOff>550179</xdr:colOff>
      <xdr:row>90</xdr:row>
      <xdr:rowOff>12203</xdr:rowOff>
    </xdr:from>
    <xdr:to>
      <xdr:col>17</xdr:col>
      <xdr:colOff>22014</xdr:colOff>
      <xdr:row>92</xdr:row>
      <xdr:rowOff>61493</xdr:rowOff>
    </xdr:to>
    <xdr:sp macro="" textlink="ANALYSIS!H103">
      <xdr:nvSpPr>
        <xdr:cNvPr id="767" name="TextBox 766">
          <a:extLst>
            <a:ext uri="{FF2B5EF4-FFF2-40B4-BE49-F238E27FC236}">
              <a16:creationId xmlns:a16="http://schemas.microsoft.com/office/drawing/2014/main" id="{A441C5BA-1F3E-4E46-817C-424E943828EF}"/>
            </a:ext>
          </a:extLst>
        </xdr:cNvPr>
        <xdr:cNvSpPr txBox="1"/>
      </xdr:nvSpPr>
      <xdr:spPr>
        <a:xfrm>
          <a:off x="10009489" y="16592272"/>
          <a:ext cx="733077" cy="4171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F088D2F-7FF0-45F2-8B25-C11EE31F6CD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17</xdr:col>
      <xdr:colOff>22014</xdr:colOff>
      <xdr:row>90</xdr:row>
      <xdr:rowOff>12203</xdr:rowOff>
    </xdr:from>
    <xdr:to>
      <xdr:col>18</xdr:col>
      <xdr:colOff>248229</xdr:colOff>
      <xdr:row>92</xdr:row>
      <xdr:rowOff>61493</xdr:rowOff>
    </xdr:to>
    <xdr:sp macro="" textlink="ANALYSIS!I103">
      <xdr:nvSpPr>
        <xdr:cNvPr id="768" name="TextBox 767">
          <a:extLst>
            <a:ext uri="{FF2B5EF4-FFF2-40B4-BE49-F238E27FC236}">
              <a16:creationId xmlns:a16="http://schemas.microsoft.com/office/drawing/2014/main" id="{7332FDD7-9198-4DE8-B956-C01BC13BA7CB}"/>
            </a:ext>
          </a:extLst>
        </xdr:cNvPr>
        <xdr:cNvSpPr txBox="1"/>
      </xdr:nvSpPr>
      <xdr:spPr>
        <a:xfrm>
          <a:off x="10742566" y="16592272"/>
          <a:ext cx="856835" cy="4171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2075607-68F4-45C1-AB21-8B3D61C01EE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18</xdr:col>
      <xdr:colOff>248229</xdr:colOff>
      <xdr:row>90</xdr:row>
      <xdr:rowOff>12203</xdr:rowOff>
    </xdr:from>
    <xdr:to>
      <xdr:col>19</xdr:col>
      <xdr:colOff>402054</xdr:colOff>
      <xdr:row>92</xdr:row>
      <xdr:rowOff>61493</xdr:rowOff>
    </xdr:to>
    <xdr:sp macro="" textlink="ANALYSIS!J103">
      <xdr:nvSpPr>
        <xdr:cNvPr id="769" name="TextBox 768">
          <a:extLst>
            <a:ext uri="{FF2B5EF4-FFF2-40B4-BE49-F238E27FC236}">
              <a16:creationId xmlns:a16="http://schemas.microsoft.com/office/drawing/2014/main" id="{F915B4B2-8516-452D-8286-41F22108B364}"/>
            </a:ext>
          </a:extLst>
        </xdr:cNvPr>
        <xdr:cNvSpPr txBox="1"/>
      </xdr:nvSpPr>
      <xdr:spPr>
        <a:xfrm>
          <a:off x="11599401" y="16592272"/>
          <a:ext cx="784446" cy="4171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D87624F-D985-42F6-B7EB-96DA9BB35D4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12</xdr:col>
      <xdr:colOff>556848</xdr:colOff>
      <xdr:row>92</xdr:row>
      <xdr:rowOff>53873</xdr:rowOff>
    </xdr:from>
    <xdr:to>
      <xdr:col>14</xdr:col>
      <xdr:colOff>363970</xdr:colOff>
      <xdr:row>94</xdr:row>
      <xdr:rowOff>91734</xdr:rowOff>
    </xdr:to>
    <xdr:sp macro="" textlink="">
      <xdr:nvSpPr>
        <xdr:cNvPr id="770" name="TextBox 769">
          <a:extLst>
            <a:ext uri="{FF2B5EF4-FFF2-40B4-BE49-F238E27FC236}">
              <a16:creationId xmlns:a16="http://schemas.microsoft.com/office/drawing/2014/main" id="{367E8615-EB75-4272-BC2C-8A63D962A215}"/>
            </a:ext>
          </a:extLst>
        </xdr:cNvPr>
        <xdr:cNvSpPr txBox="1"/>
      </xdr:nvSpPr>
      <xdr:spPr>
        <a:xfrm>
          <a:off x="7854463" y="16935104"/>
          <a:ext cx="1023392" cy="40420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LOWPRESS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363969</xdr:colOff>
      <xdr:row>92</xdr:row>
      <xdr:rowOff>61493</xdr:rowOff>
    </xdr:from>
    <xdr:to>
      <xdr:col>15</xdr:col>
      <xdr:colOff>550179</xdr:colOff>
      <xdr:row>94</xdr:row>
      <xdr:rowOff>99354</xdr:rowOff>
    </xdr:to>
    <xdr:sp macro="" textlink="ANALYSIS!G104">
      <xdr:nvSpPr>
        <xdr:cNvPr id="771" name="TextBox 770">
          <a:extLst>
            <a:ext uri="{FF2B5EF4-FFF2-40B4-BE49-F238E27FC236}">
              <a16:creationId xmlns:a16="http://schemas.microsoft.com/office/drawing/2014/main" id="{860E4575-232E-4AAD-99B6-5D57B163FB54}"/>
            </a:ext>
          </a:extLst>
        </xdr:cNvPr>
        <xdr:cNvSpPr txBox="1"/>
      </xdr:nvSpPr>
      <xdr:spPr>
        <a:xfrm>
          <a:off x="9192659" y="17009424"/>
          <a:ext cx="816830" cy="40572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C2A9B3A-2424-4589-92BE-39DDA8DCAEE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15</xdr:col>
      <xdr:colOff>550179</xdr:colOff>
      <xdr:row>92</xdr:row>
      <xdr:rowOff>61493</xdr:rowOff>
    </xdr:from>
    <xdr:to>
      <xdr:col>17</xdr:col>
      <xdr:colOff>22014</xdr:colOff>
      <xdr:row>94</xdr:row>
      <xdr:rowOff>99354</xdr:rowOff>
    </xdr:to>
    <xdr:sp macro="" textlink="ANALYSIS!H104">
      <xdr:nvSpPr>
        <xdr:cNvPr id="772" name="TextBox 771">
          <a:extLst>
            <a:ext uri="{FF2B5EF4-FFF2-40B4-BE49-F238E27FC236}">
              <a16:creationId xmlns:a16="http://schemas.microsoft.com/office/drawing/2014/main" id="{C960E314-3558-452D-BD1F-05CED79C55CE}"/>
            </a:ext>
          </a:extLst>
        </xdr:cNvPr>
        <xdr:cNvSpPr txBox="1"/>
      </xdr:nvSpPr>
      <xdr:spPr>
        <a:xfrm>
          <a:off x="10009489" y="17009424"/>
          <a:ext cx="733077" cy="40572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360BCE0-E392-4A0F-A777-D60B156535D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17</xdr:col>
      <xdr:colOff>22014</xdr:colOff>
      <xdr:row>92</xdr:row>
      <xdr:rowOff>61493</xdr:rowOff>
    </xdr:from>
    <xdr:to>
      <xdr:col>18</xdr:col>
      <xdr:colOff>248229</xdr:colOff>
      <xdr:row>94</xdr:row>
      <xdr:rowOff>99354</xdr:rowOff>
    </xdr:to>
    <xdr:sp macro="" textlink="ANALYSIS!I104">
      <xdr:nvSpPr>
        <xdr:cNvPr id="773" name="TextBox 772">
          <a:extLst>
            <a:ext uri="{FF2B5EF4-FFF2-40B4-BE49-F238E27FC236}">
              <a16:creationId xmlns:a16="http://schemas.microsoft.com/office/drawing/2014/main" id="{66FC8C18-5AEC-4BC8-BC48-F73B063CEC90}"/>
            </a:ext>
          </a:extLst>
        </xdr:cNvPr>
        <xdr:cNvSpPr txBox="1"/>
      </xdr:nvSpPr>
      <xdr:spPr>
        <a:xfrm>
          <a:off x="10742566" y="17009424"/>
          <a:ext cx="856835" cy="40572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27EB4FA-CEF4-4DE5-B06C-332B1D6DB4B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18</xdr:col>
      <xdr:colOff>248229</xdr:colOff>
      <xdr:row>92</xdr:row>
      <xdr:rowOff>61493</xdr:rowOff>
    </xdr:from>
    <xdr:to>
      <xdr:col>19</xdr:col>
      <xdr:colOff>402054</xdr:colOff>
      <xdr:row>94</xdr:row>
      <xdr:rowOff>99354</xdr:rowOff>
    </xdr:to>
    <xdr:sp macro="" textlink="ANALYSIS!J104">
      <xdr:nvSpPr>
        <xdr:cNvPr id="774" name="TextBox 773">
          <a:extLst>
            <a:ext uri="{FF2B5EF4-FFF2-40B4-BE49-F238E27FC236}">
              <a16:creationId xmlns:a16="http://schemas.microsoft.com/office/drawing/2014/main" id="{CE63DD48-314F-4587-BEFD-E37BDD119C45}"/>
            </a:ext>
          </a:extLst>
        </xdr:cNvPr>
        <xdr:cNvSpPr txBox="1"/>
      </xdr:nvSpPr>
      <xdr:spPr>
        <a:xfrm>
          <a:off x="11599401" y="17009424"/>
          <a:ext cx="784446" cy="40572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097D93E-DD5C-40DC-BACD-F795612D376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12</xdr:col>
      <xdr:colOff>339955</xdr:colOff>
      <xdr:row>32</xdr:row>
      <xdr:rowOff>139213</xdr:rowOff>
    </xdr:from>
    <xdr:to>
      <xdr:col>13</xdr:col>
      <xdr:colOff>513503</xdr:colOff>
      <xdr:row>35</xdr:row>
      <xdr:rowOff>57919</xdr:rowOff>
    </xdr:to>
    <xdr:sp macro="" textlink="">
      <xdr:nvSpPr>
        <xdr:cNvPr id="831" name="TextBox 830">
          <a:extLst>
            <a:ext uri="{FF2B5EF4-FFF2-40B4-BE49-F238E27FC236}">
              <a16:creationId xmlns:a16="http://schemas.microsoft.com/office/drawing/2014/main" id="{DC074403-B14C-40CC-A42A-ECC6DBE4228E}"/>
            </a:ext>
          </a:extLst>
        </xdr:cNvPr>
        <xdr:cNvSpPr txBox="1"/>
      </xdr:nvSpPr>
      <xdr:spPr>
        <a:xfrm>
          <a:off x="7637570" y="6000751"/>
          <a:ext cx="781683" cy="46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S3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513503</xdr:colOff>
      <xdr:row>32</xdr:row>
      <xdr:rowOff>139213</xdr:rowOff>
    </xdr:from>
    <xdr:to>
      <xdr:col>15</xdr:col>
      <xdr:colOff>93362</xdr:colOff>
      <xdr:row>35</xdr:row>
      <xdr:rowOff>57919</xdr:rowOff>
    </xdr:to>
    <xdr:sp macro="" textlink="">
      <xdr:nvSpPr>
        <xdr:cNvPr id="832" name="TextBox 831">
          <a:extLst>
            <a:ext uri="{FF2B5EF4-FFF2-40B4-BE49-F238E27FC236}">
              <a16:creationId xmlns:a16="http://schemas.microsoft.com/office/drawing/2014/main" id="{C8011667-AF54-44B7-A577-D2CE92754966}"/>
            </a:ext>
          </a:extLst>
        </xdr:cNvPr>
        <xdr:cNvSpPr txBox="1"/>
      </xdr:nvSpPr>
      <xdr:spPr>
        <a:xfrm>
          <a:off x="8419253" y="6000751"/>
          <a:ext cx="796128" cy="46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ENTRIES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15</xdr:col>
      <xdr:colOff>93362</xdr:colOff>
      <xdr:row>32</xdr:row>
      <xdr:rowOff>139213</xdr:rowOff>
    </xdr:from>
    <xdr:to>
      <xdr:col>16</xdr:col>
      <xdr:colOff>287865</xdr:colOff>
      <xdr:row>35</xdr:row>
      <xdr:rowOff>57919</xdr:rowOff>
    </xdr:to>
    <xdr:sp macro="" textlink="">
      <xdr:nvSpPr>
        <xdr:cNvPr id="833" name="TextBox 832">
          <a:extLst>
            <a:ext uri="{FF2B5EF4-FFF2-40B4-BE49-F238E27FC236}">
              <a16:creationId xmlns:a16="http://schemas.microsoft.com/office/drawing/2014/main" id="{78CFCBC5-D0D5-4810-BE28-6199162D2E60}"/>
            </a:ext>
          </a:extLst>
        </xdr:cNvPr>
        <xdr:cNvSpPr txBox="1"/>
      </xdr:nvSpPr>
      <xdr:spPr>
        <a:xfrm>
          <a:off x="9215381" y="6000751"/>
          <a:ext cx="802638" cy="46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SHOT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16</xdr:col>
      <xdr:colOff>287865</xdr:colOff>
      <xdr:row>32</xdr:row>
      <xdr:rowOff>139213</xdr:rowOff>
    </xdr:from>
    <xdr:to>
      <xdr:col>17</xdr:col>
      <xdr:colOff>472842</xdr:colOff>
      <xdr:row>35</xdr:row>
      <xdr:rowOff>57919</xdr:rowOff>
    </xdr:to>
    <xdr:sp macro="" textlink="">
      <xdr:nvSpPr>
        <xdr:cNvPr id="834" name="TextBox 833">
          <a:extLst>
            <a:ext uri="{FF2B5EF4-FFF2-40B4-BE49-F238E27FC236}">
              <a16:creationId xmlns:a16="http://schemas.microsoft.com/office/drawing/2014/main" id="{2F1BB61F-4C8A-45FD-8931-88B479545F4C}"/>
            </a:ext>
          </a:extLst>
        </xdr:cNvPr>
        <xdr:cNvSpPr txBox="1"/>
      </xdr:nvSpPr>
      <xdr:spPr>
        <a:xfrm>
          <a:off x="10018019" y="6000751"/>
          <a:ext cx="793111" cy="46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SHOT ON TARGET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17</xdr:col>
      <xdr:colOff>472842</xdr:colOff>
      <xdr:row>32</xdr:row>
      <xdr:rowOff>139213</xdr:rowOff>
    </xdr:from>
    <xdr:to>
      <xdr:col>19</xdr:col>
      <xdr:colOff>56512</xdr:colOff>
      <xdr:row>35</xdr:row>
      <xdr:rowOff>57919</xdr:rowOff>
    </xdr:to>
    <xdr:sp macro="" textlink="">
      <xdr:nvSpPr>
        <xdr:cNvPr id="835" name="TextBox 834">
          <a:extLst>
            <a:ext uri="{FF2B5EF4-FFF2-40B4-BE49-F238E27FC236}">
              <a16:creationId xmlns:a16="http://schemas.microsoft.com/office/drawing/2014/main" id="{CB0EAF28-2C44-4F5E-AE0C-9AEAE4C8AAF5}"/>
            </a:ext>
          </a:extLst>
        </xdr:cNvPr>
        <xdr:cNvSpPr txBox="1"/>
      </xdr:nvSpPr>
      <xdr:spPr>
        <a:xfrm>
          <a:off x="10811130" y="6000751"/>
          <a:ext cx="799940" cy="46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SHOT%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19</xdr:col>
      <xdr:colOff>56512</xdr:colOff>
      <xdr:row>32</xdr:row>
      <xdr:rowOff>139213</xdr:rowOff>
    </xdr:from>
    <xdr:to>
      <xdr:col>20</xdr:col>
      <xdr:colOff>245299</xdr:colOff>
      <xdr:row>35</xdr:row>
      <xdr:rowOff>57919</xdr:rowOff>
    </xdr:to>
    <xdr:sp macro="" textlink="">
      <xdr:nvSpPr>
        <xdr:cNvPr id="836" name="TextBox 835">
          <a:extLst>
            <a:ext uri="{FF2B5EF4-FFF2-40B4-BE49-F238E27FC236}">
              <a16:creationId xmlns:a16="http://schemas.microsoft.com/office/drawing/2014/main" id="{9C973C43-C3D3-493E-93E0-AC12D8DDCFB5}"/>
            </a:ext>
          </a:extLst>
        </xdr:cNvPr>
        <xdr:cNvSpPr txBox="1"/>
      </xdr:nvSpPr>
      <xdr:spPr>
        <a:xfrm>
          <a:off x="11611070" y="6000751"/>
          <a:ext cx="796921" cy="46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GOAL%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20</xdr:col>
      <xdr:colOff>245299</xdr:colOff>
      <xdr:row>32</xdr:row>
      <xdr:rowOff>139213</xdr:rowOff>
    </xdr:from>
    <xdr:to>
      <xdr:col>21</xdr:col>
      <xdr:colOff>435991</xdr:colOff>
      <xdr:row>35</xdr:row>
      <xdr:rowOff>57919</xdr:rowOff>
    </xdr:to>
    <xdr:sp macro="" textlink="">
      <xdr:nvSpPr>
        <xdr:cNvPr id="837" name="TextBox 836">
          <a:extLst>
            <a:ext uri="{FF2B5EF4-FFF2-40B4-BE49-F238E27FC236}">
              <a16:creationId xmlns:a16="http://schemas.microsoft.com/office/drawing/2014/main" id="{133B7C7D-4AD4-48B3-A2BB-35F33807E431}"/>
            </a:ext>
          </a:extLst>
        </xdr:cNvPr>
        <xdr:cNvSpPr txBox="1"/>
      </xdr:nvSpPr>
      <xdr:spPr>
        <a:xfrm>
          <a:off x="12407991" y="6000751"/>
          <a:ext cx="798827" cy="468226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SOT/GOAL%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156883</xdr:colOff>
      <xdr:row>35</xdr:row>
      <xdr:rowOff>57919</xdr:rowOff>
    </xdr:from>
    <xdr:to>
      <xdr:col>12</xdr:col>
      <xdr:colOff>339955</xdr:colOff>
      <xdr:row>37</xdr:row>
      <xdr:rowOff>97236</xdr:rowOff>
    </xdr:to>
    <xdr:sp macro="" textlink="">
      <xdr:nvSpPr>
        <xdr:cNvPr id="838" name="TextBox 837">
          <a:extLst>
            <a:ext uri="{FF2B5EF4-FFF2-40B4-BE49-F238E27FC236}">
              <a16:creationId xmlns:a16="http://schemas.microsoft.com/office/drawing/2014/main" id="{B06BDA27-0374-472C-B172-19D93C0927D4}"/>
            </a:ext>
          </a:extLst>
        </xdr:cNvPr>
        <xdr:cNvSpPr txBox="1"/>
      </xdr:nvSpPr>
      <xdr:spPr>
        <a:xfrm>
          <a:off x="6813177" y="6333213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AA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339955</xdr:colOff>
      <xdr:row>35</xdr:row>
      <xdr:rowOff>57919</xdr:rowOff>
    </xdr:from>
    <xdr:to>
      <xdr:col>13</xdr:col>
      <xdr:colOff>524933</xdr:colOff>
      <xdr:row>37</xdr:row>
      <xdr:rowOff>97236</xdr:rowOff>
    </xdr:to>
    <xdr:sp macro="" textlink="ANALYSIS!T144">
      <xdr:nvSpPr>
        <xdr:cNvPr id="839" name="TextBox 838">
          <a:extLst>
            <a:ext uri="{FF2B5EF4-FFF2-40B4-BE49-F238E27FC236}">
              <a16:creationId xmlns:a16="http://schemas.microsoft.com/office/drawing/2014/main" id="{030AE074-19DA-405C-9CF3-EC0CDE32277D}"/>
            </a:ext>
          </a:extLst>
        </xdr:cNvPr>
        <xdr:cNvSpPr txBox="1"/>
      </xdr:nvSpPr>
      <xdr:spPr>
        <a:xfrm>
          <a:off x="7601367" y="6333213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9F84FCD-7780-4B15-A82B-840E30D43B6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13</xdr:col>
      <xdr:colOff>524933</xdr:colOff>
      <xdr:row>35</xdr:row>
      <xdr:rowOff>57919</xdr:rowOff>
    </xdr:from>
    <xdr:to>
      <xdr:col>15</xdr:col>
      <xdr:colOff>100982</xdr:colOff>
      <xdr:row>37</xdr:row>
      <xdr:rowOff>97236</xdr:rowOff>
    </xdr:to>
    <xdr:sp macro="" textlink="ANALYSIS!U144">
      <xdr:nvSpPr>
        <xdr:cNvPr id="840" name="TextBox 839">
          <a:extLst>
            <a:ext uri="{FF2B5EF4-FFF2-40B4-BE49-F238E27FC236}">
              <a16:creationId xmlns:a16="http://schemas.microsoft.com/office/drawing/2014/main" id="{6F781FA0-A8EA-4628-901A-35576B178BBF}"/>
            </a:ext>
          </a:extLst>
        </xdr:cNvPr>
        <xdr:cNvSpPr txBox="1"/>
      </xdr:nvSpPr>
      <xdr:spPr>
        <a:xfrm>
          <a:off x="8391462" y="6333213"/>
          <a:ext cx="78628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44460ED-5AC5-4344-B003-959C8D79A62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15</xdr:col>
      <xdr:colOff>100982</xdr:colOff>
      <xdr:row>35</xdr:row>
      <xdr:rowOff>57919</xdr:rowOff>
    </xdr:from>
    <xdr:to>
      <xdr:col>16</xdr:col>
      <xdr:colOff>297390</xdr:colOff>
      <xdr:row>37</xdr:row>
      <xdr:rowOff>97236</xdr:rowOff>
    </xdr:to>
    <xdr:sp macro="" textlink="ANALYSIS!V144">
      <xdr:nvSpPr>
        <xdr:cNvPr id="841" name="TextBox 840">
          <a:extLst>
            <a:ext uri="{FF2B5EF4-FFF2-40B4-BE49-F238E27FC236}">
              <a16:creationId xmlns:a16="http://schemas.microsoft.com/office/drawing/2014/main" id="{0F075012-3CF6-4E3E-B25E-4AF298026D77}"/>
            </a:ext>
          </a:extLst>
        </xdr:cNvPr>
        <xdr:cNvSpPr txBox="1"/>
      </xdr:nvSpPr>
      <xdr:spPr>
        <a:xfrm>
          <a:off x="9177747" y="6333213"/>
          <a:ext cx="80152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A57248A-A08D-4AB8-B805-7192C72ECB1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16</xdr:col>
      <xdr:colOff>297390</xdr:colOff>
      <xdr:row>35</xdr:row>
      <xdr:rowOff>57919</xdr:rowOff>
    </xdr:from>
    <xdr:to>
      <xdr:col>17</xdr:col>
      <xdr:colOff>480462</xdr:colOff>
      <xdr:row>37</xdr:row>
      <xdr:rowOff>97236</xdr:rowOff>
    </xdr:to>
    <xdr:sp macro="" textlink="ANALYSIS!W144">
      <xdr:nvSpPr>
        <xdr:cNvPr id="842" name="TextBox 841">
          <a:extLst>
            <a:ext uri="{FF2B5EF4-FFF2-40B4-BE49-F238E27FC236}">
              <a16:creationId xmlns:a16="http://schemas.microsoft.com/office/drawing/2014/main" id="{A6BEB4EE-7CFC-4681-85B3-59F70E56E514}"/>
            </a:ext>
          </a:extLst>
        </xdr:cNvPr>
        <xdr:cNvSpPr txBox="1"/>
      </xdr:nvSpPr>
      <xdr:spPr>
        <a:xfrm>
          <a:off x="9979272" y="6333213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8904DAB-25B0-4FA4-B999-186300FD638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17</xdr:col>
      <xdr:colOff>480462</xdr:colOff>
      <xdr:row>35</xdr:row>
      <xdr:rowOff>57919</xdr:rowOff>
    </xdr:from>
    <xdr:to>
      <xdr:col>19</xdr:col>
      <xdr:colOff>67942</xdr:colOff>
      <xdr:row>37</xdr:row>
      <xdr:rowOff>97236</xdr:rowOff>
    </xdr:to>
    <xdr:sp macro="" textlink="ANALYSIS!X144">
      <xdr:nvSpPr>
        <xdr:cNvPr id="843" name="TextBox 842">
          <a:extLst>
            <a:ext uri="{FF2B5EF4-FFF2-40B4-BE49-F238E27FC236}">
              <a16:creationId xmlns:a16="http://schemas.microsoft.com/office/drawing/2014/main" id="{1EF44EEA-9583-49D6-8DA5-0C04011691EB}"/>
            </a:ext>
          </a:extLst>
        </xdr:cNvPr>
        <xdr:cNvSpPr txBox="1"/>
      </xdr:nvSpPr>
      <xdr:spPr>
        <a:xfrm>
          <a:off x="10767462" y="6333213"/>
          <a:ext cx="79771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653610A-A283-4851-A381-4CB5F713719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19</xdr:col>
      <xdr:colOff>67942</xdr:colOff>
      <xdr:row>35</xdr:row>
      <xdr:rowOff>57919</xdr:rowOff>
    </xdr:from>
    <xdr:to>
      <xdr:col>20</xdr:col>
      <xdr:colOff>252919</xdr:colOff>
      <xdr:row>37</xdr:row>
      <xdr:rowOff>97236</xdr:rowOff>
    </xdr:to>
    <xdr:sp macro="" textlink="ANALYSIS!Y144">
      <xdr:nvSpPr>
        <xdr:cNvPr id="844" name="TextBox 843">
          <a:extLst>
            <a:ext uri="{FF2B5EF4-FFF2-40B4-BE49-F238E27FC236}">
              <a16:creationId xmlns:a16="http://schemas.microsoft.com/office/drawing/2014/main" id="{CC8ADA51-0CF9-409F-B52B-D7BFE0F1DD4C}"/>
            </a:ext>
          </a:extLst>
        </xdr:cNvPr>
        <xdr:cNvSpPr txBox="1"/>
      </xdr:nvSpPr>
      <xdr:spPr>
        <a:xfrm>
          <a:off x="11565177" y="6333213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C7FC730-E347-4866-9C01-98F4E014B1B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20</xdr:col>
      <xdr:colOff>252919</xdr:colOff>
      <xdr:row>35</xdr:row>
      <xdr:rowOff>57919</xdr:rowOff>
    </xdr:from>
    <xdr:to>
      <xdr:col>21</xdr:col>
      <xdr:colOff>435991</xdr:colOff>
      <xdr:row>37</xdr:row>
      <xdr:rowOff>97236</xdr:rowOff>
    </xdr:to>
    <xdr:sp macro="" textlink="ANALYSIS!Z144">
      <xdr:nvSpPr>
        <xdr:cNvPr id="845" name="TextBox 844">
          <a:extLst>
            <a:ext uri="{FF2B5EF4-FFF2-40B4-BE49-F238E27FC236}">
              <a16:creationId xmlns:a16="http://schemas.microsoft.com/office/drawing/2014/main" id="{C607CC29-52BF-427B-BD91-7AA6C94398C0}"/>
            </a:ext>
          </a:extLst>
        </xdr:cNvPr>
        <xdr:cNvSpPr txBox="1"/>
      </xdr:nvSpPr>
      <xdr:spPr>
        <a:xfrm>
          <a:off x="12355272" y="6333213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9396C08-651D-4F69-B209-078B0D32959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156883</xdr:colOff>
      <xdr:row>37</xdr:row>
      <xdr:rowOff>97236</xdr:rowOff>
    </xdr:from>
    <xdr:to>
      <xdr:col>12</xdr:col>
      <xdr:colOff>339955</xdr:colOff>
      <xdr:row>39</xdr:row>
      <xdr:rowOff>130837</xdr:rowOff>
    </xdr:to>
    <xdr:sp macro="" textlink="">
      <xdr:nvSpPr>
        <xdr:cNvPr id="846" name="TextBox 845">
          <a:extLst>
            <a:ext uri="{FF2B5EF4-FFF2-40B4-BE49-F238E27FC236}">
              <a16:creationId xmlns:a16="http://schemas.microsoft.com/office/drawing/2014/main" id="{AACA2BD5-D78F-4060-A694-BB649ED9B91F}"/>
            </a:ext>
          </a:extLst>
        </xdr:cNvPr>
        <xdr:cNvSpPr txBox="1"/>
      </xdr:nvSpPr>
      <xdr:spPr>
        <a:xfrm>
          <a:off x="6813177" y="6731118"/>
          <a:ext cx="788190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DA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339955</xdr:colOff>
      <xdr:row>37</xdr:row>
      <xdr:rowOff>97236</xdr:rowOff>
    </xdr:from>
    <xdr:to>
      <xdr:col>13</xdr:col>
      <xdr:colOff>524933</xdr:colOff>
      <xdr:row>39</xdr:row>
      <xdr:rowOff>130837</xdr:rowOff>
    </xdr:to>
    <xdr:sp macro="" textlink="ANALYSIS!T145">
      <xdr:nvSpPr>
        <xdr:cNvPr id="847" name="TextBox 846">
          <a:extLst>
            <a:ext uri="{FF2B5EF4-FFF2-40B4-BE49-F238E27FC236}">
              <a16:creationId xmlns:a16="http://schemas.microsoft.com/office/drawing/2014/main" id="{7F073CDB-5FFD-4AC9-A1AE-0091B1689475}"/>
            </a:ext>
          </a:extLst>
        </xdr:cNvPr>
        <xdr:cNvSpPr txBox="1"/>
      </xdr:nvSpPr>
      <xdr:spPr>
        <a:xfrm>
          <a:off x="7601367" y="6731118"/>
          <a:ext cx="79009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2C46393-3397-43E8-A769-F3FDF4DF6DA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13</xdr:col>
      <xdr:colOff>524933</xdr:colOff>
      <xdr:row>37</xdr:row>
      <xdr:rowOff>97236</xdr:rowOff>
    </xdr:from>
    <xdr:to>
      <xdr:col>15</xdr:col>
      <xdr:colOff>100982</xdr:colOff>
      <xdr:row>39</xdr:row>
      <xdr:rowOff>130837</xdr:rowOff>
    </xdr:to>
    <xdr:sp macro="" textlink="ANALYSIS!U145">
      <xdr:nvSpPr>
        <xdr:cNvPr id="848" name="TextBox 847">
          <a:extLst>
            <a:ext uri="{FF2B5EF4-FFF2-40B4-BE49-F238E27FC236}">
              <a16:creationId xmlns:a16="http://schemas.microsoft.com/office/drawing/2014/main" id="{21FF7DDC-9A41-4988-8D5D-F7C25FFC07EC}"/>
            </a:ext>
          </a:extLst>
        </xdr:cNvPr>
        <xdr:cNvSpPr txBox="1"/>
      </xdr:nvSpPr>
      <xdr:spPr>
        <a:xfrm>
          <a:off x="8391462" y="6731118"/>
          <a:ext cx="78628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00DDBE1-2EE9-4E72-BA95-8D4481C692A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15</xdr:col>
      <xdr:colOff>100982</xdr:colOff>
      <xdr:row>37</xdr:row>
      <xdr:rowOff>97236</xdr:rowOff>
    </xdr:from>
    <xdr:to>
      <xdr:col>16</xdr:col>
      <xdr:colOff>297390</xdr:colOff>
      <xdr:row>39</xdr:row>
      <xdr:rowOff>130837</xdr:rowOff>
    </xdr:to>
    <xdr:sp macro="" textlink="ANALYSIS!V145">
      <xdr:nvSpPr>
        <xdr:cNvPr id="849" name="TextBox 848">
          <a:extLst>
            <a:ext uri="{FF2B5EF4-FFF2-40B4-BE49-F238E27FC236}">
              <a16:creationId xmlns:a16="http://schemas.microsoft.com/office/drawing/2014/main" id="{9D46E0B9-73AC-4F59-9B8B-0A75F03F8975}"/>
            </a:ext>
          </a:extLst>
        </xdr:cNvPr>
        <xdr:cNvSpPr txBox="1"/>
      </xdr:nvSpPr>
      <xdr:spPr>
        <a:xfrm>
          <a:off x="9177747" y="6731118"/>
          <a:ext cx="80152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A859310-595D-4A11-8413-11ADDB5C074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16</xdr:col>
      <xdr:colOff>297390</xdr:colOff>
      <xdr:row>37</xdr:row>
      <xdr:rowOff>97236</xdr:rowOff>
    </xdr:from>
    <xdr:to>
      <xdr:col>17</xdr:col>
      <xdr:colOff>480462</xdr:colOff>
      <xdr:row>39</xdr:row>
      <xdr:rowOff>130837</xdr:rowOff>
    </xdr:to>
    <xdr:sp macro="" textlink="ANALYSIS!W145">
      <xdr:nvSpPr>
        <xdr:cNvPr id="850" name="TextBox 849">
          <a:extLst>
            <a:ext uri="{FF2B5EF4-FFF2-40B4-BE49-F238E27FC236}">
              <a16:creationId xmlns:a16="http://schemas.microsoft.com/office/drawing/2014/main" id="{43EE6544-8DAE-40B1-880F-72ECC5C8B123}"/>
            </a:ext>
          </a:extLst>
        </xdr:cNvPr>
        <xdr:cNvSpPr txBox="1"/>
      </xdr:nvSpPr>
      <xdr:spPr>
        <a:xfrm>
          <a:off x="9979272" y="6731118"/>
          <a:ext cx="788190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F5F01D5-B011-4894-A406-8A5A6E9B3BA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17</xdr:col>
      <xdr:colOff>480462</xdr:colOff>
      <xdr:row>37</xdr:row>
      <xdr:rowOff>97236</xdr:rowOff>
    </xdr:from>
    <xdr:to>
      <xdr:col>19</xdr:col>
      <xdr:colOff>67942</xdr:colOff>
      <xdr:row>39</xdr:row>
      <xdr:rowOff>130837</xdr:rowOff>
    </xdr:to>
    <xdr:sp macro="" textlink="ANALYSIS!X145">
      <xdr:nvSpPr>
        <xdr:cNvPr id="851" name="TextBox 850">
          <a:extLst>
            <a:ext uri="{FF2B5EF4-FFF2-40B4-BE49-F238E27FC236}">
              <a16:creationId xmlns:a16="http://schemas.microsoft.com/office/drawing/2014/main" id="{62CA2026-5DC6-4DD6-AAF4-0562C5778228}"/>
            </a:ext>
          </a:extLst>
        </xdr:cNvPr>
        <xdr:cNvSpPr txBox="1"/>
      </xdr:nvSpPr>
      <xdr:spPr>
        <a:xfrm>
          <a:off x="10767462" y="6731118"/>
          <a:ext cx="79771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3FE454A-6218-4702-951E-B741CCE5069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19</xdr:col>
      <xdr:colOff>67942</xdr:colOff>
      <xdr:row>37</xdr:row>
      <xdr:rowOff>97236</xdr:rowOff>
    </xdr:from>
    <xdr:to>
      <xdr:col>20</xdr:col>
      <xdr:colOff>252919</xdr:colOff>
      <xdr:row>39</xdr:row>
      <xdr:rowOff>130837</xdr:rowOff>
    </xdr:to>
    <xdr:sp macro="" textlink="ANALYSIS!Y145">
      <xdr:nvSpPr>
        <xdr:cNvPr id="852" name="TextBox 851">
          <a:extLst>
            <a:ext uri="{FF2B5EF4-FFF2-40B4-BE49-F238E27FC236}">
              <a16:creationId xmlns:a16="http://schemas.microsoft.com/office/drawing/2014/main" id="{C6AD4724-E3E8-4C94-9C6C-A37CDA166860}"/>
            </a:ext>
          </a:extLst>
        </xdr:cNvPr>
        <xdr:cNvSpPr txBox="1"/>
      </xdr:nvSpPr>
      <xdr:spPr>
        <a:xfrm>
          <a:off x="11565177" y="6731118"/>
          <a:ext cx="79009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01DA0CF-B486-4218-BFE0-F1F12976403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20</xdr:col>
      <xdr:colOff>252919</xdr:colOff>
      <xdr:row>37</xdr:row>
      <xdr:rowOff>97236</xdr:rowOff>
    </xdr:from>
    <xdr:to>
      <xdr:col>21</xdr:col>
      <xdr:colOff>435991</xdr:colOff>
      <xdr:row>39</xdr:row>
      <xdr:rowOff>130837</xdr:rowOff>
    </xdr:to>
    <xdr:sp macro="" textlink="ANALYSIS!Z145">
      <xdr:nvSpPr>
        <xdr:cNvPr id="853" name="TextBox 852">
          <a:extLst>
            <a:ext uri="{FF2B5EF4-FFF2-40B4-BE49-F238E27FC236}">
              <a16:creationId xmlns:a16="http://schemas.microsoft.com/office/drawing/2014/main" id="{FFAE25AD-59C3-4771-9479-EF3ED690450A}"/>
            </a:ext>
          </a:extLst>
        </xdr:cNvPr>
        <xdr:cNvSpPr txBox="1"/>
      </xdr:nvSpPr>
      <xdr:spPr>
        <a:xfrm>
          <a:off x="12355272" y="6731118"/>
          <a:ext cx="788190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C2E5108-5740-423C-8BCB-8E309913E8F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156883</xdr:colOff>
      <xdr:row>39</xdr:row>
      <xdr:rowOff>130837</xdr:rowOff>
    </xdr:from>
    <xdr:to>
      <xdr:col>12</xdr:col>
      <xdr:colOff>339955</xdr:colOff>
      <xdr:row>41</xdr:row>
      <xdr:rowOff>168249</xdr:rowOff>
    </xdr:to>
    <xdr:sp macro="" textlink="">
      <xdr:nvSpPr>
        <xdr:cNvPr id="854" name="TextBox 853">
          <a:extLst>
            <a:ext uri="{FF2B5EF4-FFF2-40B4-BE49-F238E27FC236}">
              <a16:creationId xmlns:a16="http://schemas.microsoft.com/office/drawing/2014/main" id="{BE15651F-EB0B-4046-A5DD-5B1C8FEE6893}"/>
            </a:ext>
          </a:extLst>
        </xdr:cNvPr>
        <xdr:cNvSpPr txBox="1"/>
      </xdr:nvSpPr>
      <xdr:spPr>
        <a:xfrm>
          <a:off x="6813177" y="7123308"/>
          <a:ext cx="78819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DD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339955</xdr:colOff>
      <xdr:row>39</xdr:row>
      <xdr:rowOff>130837</xdr:rowOff>
    </xdr:from>
    <xdr:to>
      <xdr:col>13</xdr:col>
      <xdr:colOff>524933</xdr:colOff>
      <xdr:row>41</xdr:row>
      <xdr:rowOff>168249</xdr:rowOff>
    </xdr:to>
    <xdr:sp macro="" textlink="ANALYSIS!T146">
      <xdr:nvSpPr>
        <xdr:cNvPr id="855" name="TextBox 854">
          <a:extLst>
            <a:ext uri="{FF2B5EF4-FFF2-40B4-BE49-F238E27FC236}">
              <a16:creationId xmlns:a16="http://schemas.microsoft.com/office/drawing/2014/main" id="{CA7E8E60-4793-4C40-8B3A-B4F5D1CEA087}"/>
            </a:ext>
          </a:extLst>
        </xdr:cNvPr>
        <xdr:cNvSpPr txBox="1"/>
      </xdr:nvSpPr>
      <xdr:spPr>
        <a:xfrm>
          <a:off x="7601367" y="7123308"/>
          <a:ext cx="79009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542B245-D582-4D21-B494-363D5BB5499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13</xdr:col>
      <xdr:colOff>524933</xdr:colOff>
      <xdr:row>39</xdr:row>
      <xdr:rowOff>130837</xdr:rowOff>
    </xdr:from>
    <xdr:to>
      <xdr:col>15</xdr:col>
      <xdr:colOff>100982</xdr:colOff>
      <xdr:row>41</xdr:row>
      <xdr:rowOff>168249</xdr:rowOff>
    </xdr:to>
    <xdr:sp macro="" textlink="ANALYSIS!U146">
      <xdr:nvSpPr>
        <xdr:cNvPr id="856" name="TextBox 855">
          <a:extLst>
            <a:ext uri="{FF2B5EF4-FFF2-40B4-BE49-F238E27FC236}">
              <a16:creationId xmlns:a16="http://schemas.microsoft.com/office/drawing/2014/main" id="{29BD09E3-08F2-4795-8BC7-9400BD7EBF5A}"/>
            </a:ext>
          </a:extLst>
        </xdr:cNvPr>
        <xdr:cNvSpPr txBox="1"/>
      </xdr:nvSpPr>
      <xdr:spPr>
        <a:xfrm>
          <a:off x="8391462" y="7123308"/>
          <a:ext cx="78628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2CAC710-C797-467C-90E6-5C81B235A98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15</xdr:col>
      <xdr:colOff>100982</xdr:colOff>
      <xdr:row>39</xdr:row>
      <xdr:rowOff>130837</xdr:rowOff>
    </xdr:from>
    <xdr:to>
      <xdr:col>16</xdr:col>
      <xdr:colOff>297390</xdr:colOff>
      <xdr:row>41</xdr:row>
      <xdr:rowOff>168249</xdr:rowOff>
    </xdr:to>
    <xdr:sp macro="" textlink="ANALYSIS!V146">
      <xdr:nvSpPr>
        <xdr:cNvPr id="857" name="TextBox 856">
          <a:extLst>
            <a:ext uri="{FF2B5EF4-FFF2-40B4-BE49-F238E27FC236}">
              <a16:creationId xmlns:a16="http://schemas.microsoft.com/office/drawing/2014/main" id="{D4E37E95-1F83-4FF9-8CDF-37E77A665E40}"/>
            </a:ext>
          </a:extLst>
        </xdr:cNvPr>
        <xdr:cNvSpPr txBox="1"/>
      </xdr:nvSpPr>
      <xdr:spPr>
        <a:xfrm>
          <a:off x="9177747" y="7123308"/>
          <a:ext cx="80152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240FD61-02A6-4D5D-A43D-3759DFE4715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16</xdr:col>
      <xdr:colOff>297390</xdr:colOff>
      <xdr:row>39</xdr:row>
      <xdr:rowOff>130837</xdr:rowOff>
    </xdr:from>
    <xdr:to>
      <xdr:col>17</xdr:col>
      <xdr:colOff>480462</xdr:colOff>
      <xdr:row>41</xdr:row>
      <xdr:rowOff>168249</xdr:rowOff>
    </xdr:to>
    <xdr:sp macro="" textlink="ANALYSIS!W146">
      <xdr:nvSpPr>
        <xdr:cNvPr id="858" name="TextBox 857">
          <a:extLst>
            <a:ext uri="{FF2B5EF4-FFF2-40B4-BE49-F238E27FC236}">
              <a16:creationId xmlns:a16="http://schemas.microsoft.com/office/drawing/2014/main" id="{75975C9F-39FF-47DB-B771-778C9921E80D}"/>
            </a:ext>
          </a:extLst>
        </xdr:cNvPr>
        <xdr:cNvSpPr txBox="1"/>
      </xdr:nvSpPr>
      <xdr:spPr>
        <a:xfrm>
          <a:off x="9979272" y="7123308"/>
          <a:ext cx="78819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37B8CA8-1D76-43B8-A50F-0CBC9272EA6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17</xdr:col>
      <xdr:colOff>480462</xdr:colOff>
      <xdr:row>39</xdr:row>
      <xdr:rowOff>130837</xdr:rowOff>
    </xdr:from>
    <xdr:to>
      <xdr:col>19</xdr:col>
      <xdr:colOff>67942</xdr:colOff>
      <xdr:row>41</xdr:row>
      <xdr:rowOff>168249</xdr:rowOff>
    </xdr:to>
    <xdr:sp macro="" textlink="ANALYSIS!X146">
      <xdr:nvSpPr>
        <xdr:cNvPr id="859" name="TextBox 858">
          <a:extLst>
            <a:ext uri="{FF2B5EF4-FFF2-40B4-BE49-F238E27FC236}">
              <a16:creationId xmlns:a16="http://schemas.microsoft.com/office/drawing/2014/main" id="{8647ED87-1F52-40EC-8322-41BCCC43B0A5}"/>
            </a:ext>
          </a:extLst>
        </xdr:cNvPr>
        <xdr:cNvSpPr txBox="1"/>
      </xdr:nvSpPr>
      <xdr:spPr>
        <a:xfrm>
          <a:off x="10767462" y="7123308"/>
          <a:ext cx="79771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6DBDCFE-AC26-4DE7-9DB8-BA3537333F8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19</xdr:col>
      <xdr:colOff>67942</xdr:colOff>
      <xdr:row>39</xdr:row>
      <xdr:rowOff>130837</xdr:rowOff>
    </xdr:from>
    <xdr:to>
      <xdr:col>20</xdr:col>
      <xdr:colOff>252919</xdr:colOff>
      <xdr:row>41</xdr:row>
      <xdr:rowOff>168249</xdr:rowOff>
    </xdr:to>
    <xdr:sp macro="" textlink="ANALYSIS!Y146">
      <xdr:nvSpPr>
        <xdr:cNvPr id="860" name="TextBox 859">
          <a:extLst>
            <a:ext uri="{FF2B5EF4-FFF2-40B4-BE49-F238E27FC236}">
              <a16:creationId xmlns:a16="http://schemas.microsoft.com/office/drawing/2014/main" id="{45E77B07-7EA0-4EAD-BBE0-12D18B488ECA}"/>
            </a:ext>
          </a:extLst>
        </xdr:cNvPr>
        <xdr:cNvSpPr txBox="1"/>
      </xdr:nvSpPr>
      <xdr:spPr>
        <a:xfrm>
          <a:off x="11565177" y="7123308"/>
          <a:ext cx="79009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5B36210-521D-463C-B16F-EAA2424DC6A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20</xdr:col>
      <xdr:colOff>252919</xdr:colOff>
      <xdr:row>39</xdr:row>
      <xdr:rowOff>130837</xdr:rowOff>
    </xdr:from>
    <xdr:to>
      <xdr:col>21</xdr:col>
      <xdr:colOff>435991</xdr:colOff>
      <xdr:row>41</xdr:row>
      <xdr:rowOff>168249</xdr:rowOff>
    </xdr:to>
    <xdr:sp macro="" textlink="ANALYSIS!Z146">
      <xdr:nvSpPr>
        <xdr:cNvPr id="861" name="TextBox 860">
          <a:extLst>
            <a:ext uri="{FF2B5EF4-FFF2-40B4-BE49-F238E27FC236}">
              <a16:creationId xmlns:a16="http://schemas.microsoft.com/office/drawing/2014/main" id="{2DB93881-104E-4E53-8999-B2DDF71B38C8}"/>
            </a:ext>
          </a:extLst>
        </xdr:cNvPr>
        <xdr:cNvSpPr txBox="1"/>
      </xdr:nvSpPr>
      <xdr:spPr>
        <a:xfrm>
          <a:off x="12355272" y="7123308"/>
          <a:ext cx="78819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AE09CB4-7495-4B7D-BA1B-9C2923F29C1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156883</xdr:colOff>
      <xdr:row>41</xdr:row>
      <xdr:rowOff>168249</xdr:rowOff>
    </xdr:from>
    <xdr:to>
      <xdr:col>12</xdr:col>
      <xdr:colOff>339955</xdr:colOff>
      <xdr:row>44</xdr:row>
      <xdr:rowOff>28272</xdr:rowOff>
    </xdr:to>
    <xdr:sp macro="" textlink="">
      <xdr:nvSpPr>
        <xdr:cNvPr id="862" name="TextBox 861">
          <a:extLst>
            <a:ext uri="{FF2B5EF4-FFF2-40B4-BE49-F238E27FC236}">
              <a16:creationId xmlns:a16="http://schemas.microsoft.com/office/drawing/2014/main" id="{4AD7F425-AF4C-4DD1-9922-E3693E95811A}"/>
            </a:ext>
          </a:extLst>
        </xdr:cNvPr>
        <xdr:cNvSpPr txBox="1"/>
      </xdr:nvSpPr>
      <xdr:spPr>
        <a:xfrm>
          <a:off x="6813177" y="7519308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AD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12</xdr:col>
      <xdr:colOff>339955</xdr:colOff>
      <xdr:row>41</xdr:row>
      <xdr:rowOff>168249</xdr:rowOff>
    </xdr:from>
    <xdr:to>
      <xdr:col>13</xdr:col>
      <xdr:colOff>524933</xdr:colOff>
      <xdr:row>44</xdr:row>
      <xdr:rowOff>28272</xdr:rowOff>
    </xdr:to>
    <xdr:sp macro="" textlink="ANALYSIS!T147">
      <xdr:nvSpPr>
        <xdr:cNvPr id="863" name="TextBox 862">
          <a:extLst>
            <a:ext uri="{FF2B5EF4-FFF2-40B4-BE49-F238E27FC236}">
              <a16:creationId xmlns:a16="http://schemas.microsoft.com/office/drawing/2014/main" id="{EC0D75F3-9D75-4F6A-BEDE-F951F906840B}"/>
            </a:ext>
          </a:extLst>
        </xdr:cNvPr>
        <xdr:cNvSpPr txBox="1"/>
      </xdr:nvSpPr>
      <xdr:spPr>
        <a:xfrm>
          <a:off x="7601367" y="7519308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1FDC9C1-4E77-4ACE-ADE0-D5CA7D51AF3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13</xdr:col>
      <xdr:colOff>524933</xdr:colOff>
      <xdr:row>41</xdr:row>
      <xdr:rowOff>168249</xdr:rowOff>
    </xdr:from>
    <xdr:to>
      <xdr:col>15</xdr:col>
      <xdr:colOff>100982</xdr:colOff>
      <xdr:row>44</xdr:row>
      <xdr:rowOff>28272</xdr:rowOff>
    </xdr:to>
    <xdr:sp macro="" textlink="ANALYSIS!U147">
      <xdr:nvSpPr>
        <xdr:cNvPr id="864" name="TextBox 863">
          <a:extLst>
            <a:ext uri="{FF2B5EF4-FFF2-40B4-BE49-F238E27FC236}">
              <a16:creationId xmlns:a16="http://schemas.microsoft.com/office/drawing/2014/main" id="{9BD28A17-28C3-4DAE-BF97-71D22DD6AE80}"/>
            </a:ext>
          </a:extLst>
        </xdr:cNvPr>
        <xdr:cNvSpPr txBox="1"/>
      </xdr:nvSpPr>
      <xdr:spPr>
        <a:xfrm>
          <a:off x="8391462" y="7519308"/>
          <a:ext cx="78628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618DE32-E0EA-4183-AFBF-DEECEC90A93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15</xdr:col>
      <xdr:colOff>100982</xdr:colOff>
      <xdr:row>41</xdr:row>
      <xdr:rowOff>168249</xdr:rowOff>
    </xdr:from>
    <xdr:to>
      <xdr:col>16</xdr:col>
      <xdr:colOff>297390</xdr:colOff>
      <xdr:row>44</xdr:row>
      <xdr:rowOff>28272</xdr:rowOff>
    </xdr:to>
    <xdr:sp macro="" textlink="ANALYSIS!V147">
      <xdr:nvSpPr>
        <xdr:cNvPr id="865" name="TextBox 864">
          <a:extLst>
            <a:ext uri="{FF2B5EF4-FFF2-40B4-BE49-F238E27FC236}">
              <a16:creationId xmlns:a16="http://schemas.microsoft.com/office/drawing/2014/main" id="{158BB0C1-F7EA-4ECD-925D-687659DABF3A}"/>
            </a:ext>
          </a:extLst>
        </xdr:cNvPr>
        <xdr:cNvSpPr txBox="1"/>
      </xdr:nvSpPr>
      <xdr:spPr>
        <a:xfrm>
          <a:off x="9177747" y="7519308"/>
          <a:ext cx="80152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BAC94A7-996E-4D2C-9E8C-97B3C64D1D9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16</xdr:col>
      <xdr:colOff>297390</xdr:colOff>
      <xdr:row>41</xdr:row>
      <xdr:rowOff>168249</xdr:rowOff>
    </xdr:from>
    <xdr:to>
      <xdr:col>17</xdr:col>
      <xdr:colOff>480462</xdr:colOff>
      <xdr:row>44</xdr:row>
      <xdr:rowOff>28272</xdr:rowOff>
    </xdr:to>
    <xdr:sp macro="" textlink="ANALYSIS!W147">
      <xdr:nvSpPr>
        <xdr:cNvPr id="866" name="TextBox 865">
          <a:extLst>
            <a:ext uri="{FF2B5EF4-FFF2-40B4-BE49-F238E27FC236}">
              <a16:creationId xmlns:a16="http://schemas.microsoft.com/office/drawing/2014/main" id="{2F07AB83-C497-4E17-A8E3-0DE4E29F4B37}"/>
            </a:ext>
          </a:extLst>
        </xdr:cNvPr>
        <xdr:cNvSpPr txBox="1"/>
      </xdr:nvSpPr>
      <xdr:spPr>
        <a:xfrm>
          <a:off x="9979272" y="7519308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7F93140-73DD-4391-A7ED-DF771D7D59D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17</xdr:col>
      <xdr:colOff>480462</xdr:colOff>
      <xdr:row>41</xdr:row>
      <xdr:rowOff>168249</xdr:rowOff>
    </xdr:from>
    <xdr:to>
      <xdr:col>19</xdr:col>
      <xdr:colOff>67942</xdr:colOff>
      <xdr:row>44</xdr:row>
      <xdr:rowOff>28272</xdr:rowOff>
    </xdr:to>
    <xdr:sp macro="" textlink="ANALYSIS!X147">
      <xdr:nvSpPr>
        <xdr:cNvPr id="867" name="TextBox 866">
          <a:extLst>
            <a:ext uri="{FF2B5EF4-FFF2-40B4-BE49-F238E27FC236}">
              <a16:creationId xmlns:a16="http://schemas.microsoft.com/office/drawing/2014/main" id="{BDF32801-039D-4DEC-B73B-28F2B0E1018F}"/>
            </a:ext>
          </a:extLst>
        </xdr:cNvPr>
        <xdr:cNvSpPr txBox="1"/>
      </xdr:nvSpPr>
      <xdr:spPr>
        <a:xfrm>
          <a:off x="10767462" y="7519308"/>
          <a:ext cx="79771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E8B776A-1776-4478-9190-C09FDBC6C2C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19</xdr:col>
      <xdr:colOff>67942</xdr:colOff>
      <xdr:row>41</xdr:row>
      <xdr:rowOff>168249</xdr:rowOff>
    </xdr:from>
    <xdr:to>
      <xdr:col>20</xdr:col>
      <xdr:colOff>252919</xdr:colOff>
      <xdr:row>44</xdr:row>
      <xdr:rowOff>28272</xdr:rowOff>
    </xdr:to>
    <xdr:sp macro="" textlink="ANALYSIS!Y147">
      <xdr:nvSpPr>
        <xdr:cNvPr id="868" name="TextBox 867">
          <a:extLst>
            <a:ext uri="{FF2B5EF4-FFF2-40B4-BE49-F238E27FC236}">
              <a16:creationId xmlns:a16="http://schemas.microsoft.com/office/drawing/2014/main" id="{B8EA948D-FF16-421B-AAAB-4AD3A65BDD6A}"/>
            </a:ext>
          </a:extLst>
        </xdr:cNvPr>
        <xdr:cNvSpPr txBox="1"/>
      </xdr:nvSpPr>
      <xdr:spPr>
        <a:xfrm>
          <a:off x="11565177" y="7519308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CBB0ADC-2D1C-4D23-8AE1-49994B4EF40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20</xdr:col>
      <xdr:colOff>252919</xdr:colOff>
      <xdr:row>41</xdr:row>
      <xdr:rowOff>168249</xdr:rowOff>
    </xdr:from>
    <xdr:to>
      <xdr:col>21</xdr:col>
      <xdr:colOff>435991</xdr:colOff>
      <xdr:row>44</xdr:row>
      <xdr:rowOff>28272</xdr:rowOff>
    </xdr:to>
    <xdr:sp macro="" textlink="ANALYSIS!Z147">
      <xdr:nvSpPr>
        <xdr:cNvPr id="869" name="TextBox 868">
          <a:extLst>
            <a:ext uri="{FF2B5EF4-FFF2-40B4-BE49-F238E27FC236}">
              <a16:creationId xmlns:a16="http://schemas.microsoft.com/office/drawing/2014/main" id="{8100421C-9A7A-4217-B314-5883078C86C2}"/>
            </a:ext>
          </a:extLst>
        </xdr:cNvPr>
        <xdr:cNvSpPr txBox="1"/>
      </xdr:nvSpPr>
      <xdr:spPr>
        <a:xfrm>
          <a:off x="12355272" y="7519308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2542141-D634-4AA8-8708-8AB73BEB3A3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13</xdr:col>
      <xdr:colOff>130853</xdr:colOff>
      <xdr:row>11</xdr:row>
      <xdr:rowOff>59840</xdr:rowOff>
    </xdr:from>
    <xdr:to>
      <xdr:col>14</xdr:col>
      <xdr:colOff>313925</xdr:colOff>
      <xdr:row>13</xdr:row>
      <xdr:rowOff>95346</xdr:rowOff>
    </xdr:to>
    <xdr:sp macro="" textlink="">
      <xdr:nvSpPr>
        <xdr:cNvPr id="903" name="TextBox 902">
          <a:extLst>
            <a:ext uri="{FF2B5EF4-FFF2-40B4-BE49-F238E27FC236}">
              <a16:creationId xmlns:a16="http://schemas.microsoft.com/office/drawing/2014/main" id="{AF9EA2EA-554A-4C07-B77C-1341E16B20E6}"/>
            </a:ext>
          </a:extLst>
        </xdr:cNvPr>
        <xdr:cNvSpPr txBox="1"/>
      </xdr:nvSpPr>
      <xdr:spPr>
        <a:xfrm>
          <a:off x="8036603" y="2074744"/>
          <a:ext cx="791207" cy="4018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latin typeface="Titillium Bd" panose="00000800000000000000" pitchFamily="50" charset="0"/>
            </a:rPr>
            <a:t>KOKKU</a:t>
          </a:r>
          <a:endParaRPr lang="et-EE" sz="1000" b="1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14</xdr:col>
      <xdr:colOff>313925</xdr:colOff>
      <xdr:row>11</xdr:row>
      <xdr:rowOff>59840</xdr:rowOff>
    </xdr:from>
    <xdr:to>
      <xdr:col>15</xdr:col>
      <xdr:colOff>493187</xdr:colOff>
      <xdr:row>13</xdr:row>
      <xdr:rowOff>95346</xdr:rowOff>
    </xdr:to>
    <xdr:sp macro="" textlink="">
      <xdr:nvSpPr>
        <xdr:cNvPr id="904" name="TextBox 903">
          <a:extLst>
            <a:ext uri="{FF2B5EF4-FFF2-40B4-BE49-F238E27FC236}">
              <a16:creationId xmlns:a16="http://schemas.microsoft.com/office/drawing/2014/main" id="{58E52FA8-D4E3-4E2B-AE04-A04101A98BB1}"/>
            </a:ext>
          </a:extLst>
        </xdr:cNvPr>
        <xdr:cNvSpPr txBox="1"/>
      </xdr:nvSpPr>
      <xdr:spPr>
        <a:xfrm>
          <a:off x="8827810" y="2074744"/>
          <a:ext cx="787396" cy="4018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latin typeface="Titillium Bd" panose="00000800000000000000" pitchFamily="50" charset="0"/>
            </a:rPr>
            <a:t>ATTEMPTS</a:t>
          </a:r>
          <a:endParaRPr lang="et-EE" sz="1000" b="1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15</xdr:col>
      <xdr:colOff>493187</xdr:colOff>
      <xdr:row>11</xdr:row>
      <xdr:rowOff>59840</xdr:rowOff>
    </xdr:from>
    <xdr:to>
      <xdr:col>17</xdr:col>
      <xdr:colOff>86382</xdr:colOff>
      <xdr:row>13</xdr:row>
      <xdr:rowOff>95346</xdr:rowOff>
    </xdr:to>
    <xdr:sp macro="" textlink="">
      <xdr:nvSpPr>
        <xdr:cNvPr id="905" name="TextBox 904">
          <a:extLst>
            <a:ext uri="{FF2B5EF4-FFF2-40B4-BE49-F238E27FC236}">
              <a16:creationId xmlns:a16="http://schemas.microsoft.com/office/drawing/2014/main" id="{3F08C04B-4D1C-47AA-ADBB-25B9320A9A15}"/>
            </a:ext>
          </a:extLst>
        </xdr:cNvPr>
        <xdr:cNvSpPr txBox="1"/>
      </xdr:nvSpPr>
      <xdr:spPr>
        <a:xfrm>
          <a:off x="9615206" y="2074744"/>
          <a:ext cx="809464" cy="4018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latin typeface="Titillium Bd" panose="00000800000000000000" pitchFamily="50" charset="0"/>
            </a:rPr>
            <a:t>GOAL</a:t>
          </a:r>
          <a:endParaRPr lang="et-EE" sz="1000" b="1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17</xdr:col>
      <xdr:colOff>86382</xdr:colOff>
      <xdr:row>11</xdr:row>
      <xdr:rowOff>59840</xdr:rowOff>
    </xdr:from>
    <xdr:to>
      <xdr:col>18</xdr:col>
      <xdr:colOff>267549</xdr:colOff>
      <xdr:row>13</xdr:row>
      <xdr:rowOff>95346</xdr:rowOff>
    </xdr:to>
    <xdr:sp macro="" textlink="">
      <xdr:nvSpPr>
        <xdr:cNvPr id="906" name="TextBox 905">
          <a:extLst>
            <a:ext uri="{FF2B5EF4-FFF2-40B4-BE49-F238E27FC236}">
              <a16:creationId xmlns:a16="http://schemas.microsoft.com/office/drawing/2014/main" id="{070CA269-C86E-4649-A84C-7F23498BBF5C}"/>
            </a:ext>
          </a:extLst>
        </xdr:cNvPr>
        <xdr:cNvSpPr txBox="1"/>
      </xdr:nvSpPr>
      <xdr:spPr>
        <a:xfrm>
          <a:off x="10424670" y="2074744"/>
          <a:ext cx="789302" cy="4018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latin typeface="Titillium Bd" panose="00000800000000000000" pitchFamily="50" charset="0"/>
            </a:rPr>
            <a:t>ATTEMPT%</a:t>
          </a:r>
          <a:endParaRPr lang="et-EE" sz="1000" b="1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18</xdr:col>
      <xdr:colOff>267549</xdr:colOff>
      <xdr:row>11</xdr:row>
      <xdr:rowOff>59840</xdr:rowOff>
    </xdr:from>
    <xdr:to>
      <xdr:col>19</xdr:col>
      <xdr:colOff>460147</xdr:colOff>
      <xdr:row>13</xdr:row>
      <xdr:rowOff>95346</xdr:rowOff>
    </xdr:to>
    <xdr:sp macro="" textlink="">
      <xdr:nvSpPr>
        <xdr:cNvPr id="907" name="TextBox 906">
          <a:extLst>
            <a:ext uri="{FF2B5EF4-FFF2-40B4-BE49-F238E27FC236}">
              <a16:creationId xmlns:a16="http://schemas.microsoft.com/office/drawing/2014/main" id="{6D716E9F-9AC4-43B7-9AFE-F635982674D0}"/>
            </a:ext>
          </a:extLst>
        </xdr:cNvPr>
        <xdr:cNvSpPr txBox="1"/>
      </xdr:nvSpPr>
      <xdr:spPr>
        <a:xfrm>
          <a:off x="11213972" y="2074744"/>
          <a:ext cx="800733" cy="4018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latin typeface="Titillium Bd" panose="00000800000000000000" pitchFamily="50" charset="0"/>
            </a:rPr>
            <a:t>GOAL%</a:t>
          </a:r>
          <a:endParaRPr lang="et-EE" sz="1000" b="1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19</xdr:col>
      <xdr:colOff>460147</xdr:colOff>
      <xdr:row>11</xdr:row>
      <xdr:rowOff>59840</xdr:rowOff>
    </xdr:from>
    <xdr:to>
      <xdr:col>21</xdr:col>
      <xdr:colOff>40006</xdr:colOff>
      <xdr:row>13</xdr:row>
      <xdr:rowOff>95346</xdr:rowOff>
    </xdr:to>
    <xdr:sp macro="" textlink="">
      <xdr:nvSpPr>
        <xdr:cNvPr id="908" name="TextBox 907">
          <a:extLst>
            <a:ext uri="{FF2B5EF4-FFF2-40B4-BE49-F238E27FC236}">
              <a16:creationId xmlns:a16="http://schemas.microsoft.com/office/drawing/2014/main" id="{C881376E-B23E-4FAC-9FC9-1739061FB50C}"/>
            </a:ext>
          </a:extLst>
        </xdr:cNvPr>
        <xdr:cNvSpPr txBox="1"/>
      </xdr:nvSpPr>
      <xdr:spPr>
        <a:xfrm>
          <a:off x="12014705" y="2074744"/>
          <a:ext cx="796128" cy="40185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latin typeface="Titillium Bd" panose="00000800000000000000" pitchFamily="50" charset="0"/>
            </a:rPr>
            <a:t>XG</a:t>
          </a:r>
          <a:endParaRPr lang="et-EE" sz="1000" b="1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11</xdr:col>
      <xdr:colOff>271096</xdr:colOff>
      <xdr:row>13</xdr:row>
      <xdr:rowOff>95346</xdr:rowOff>
    </xdr:from>
    <xdr:to>
      <xdr:col>13</xdr:col>
      <xdr:colOff>130853</xdr:colOff>
      <xdr:row>15</xdr:row>
      <xdr:rowOff>134663</xdr:rowOff>
    </xdr:to>
    <xdr:sp macro="" textlink="">
      <xdr:nvSpPr>
        <xdr:cNvPr id="909" name="TextBox 908">
          <a:extLst>
            <a:ext uri="{FF2B5EF4-FFF2-40B4-BE49-F238E27FC236}">
              <a16:creationId xmlns:a16="http://schemas.microsoft.com/office/drawing/2014/main" id="{F6E0CAA4-9418-4FCA-8013-7A9674D63374}"/>
            </a:ext>
          </a:extLst>
        </xdr:cNvPr>
        <xdr:cNvSpPr txBox="1"/>
      </xdr:nvSpPr>
      <xdr:spPr>
        <a:xfrm>
          <a:off x="6960577" y="2476596"/>
          <a:ext cx="1076026" cy="40566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AA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127043</xdr:colOff>
      <xdr:row>13</xdr:row>
      <xdr:rowOff>91536</xdr:rowOff>
    </xdr:from>
    <xdr:to>
      <xdr:col>14</xdr:col>
      <xdr:colOff>312020</xdr:colOff>
      <xdr:row>15</xdr:row>
      <xdr:rowOff>130853</xdr:rowOff>
    </xdr:to>
    <xdr:sp macro="" textlink="ANALYSIS!G115">
      <xdr:nvSpPr>
        <xdr:cNvPr id="910" name="TextBox 909">
          <a:extLst>
            <a:ext uri="{FF2B5EF4-FFF2-40B4-BE49-F238E27FC236}">
              <a16:creationId xmlns:a16="http://schemas.microsoft.com/office/drawing/2014/main" id="{33E75510-D7E7-46BF-A095-05A70B133E5C}"/>
            </a:ext>
          </a:extLst>
        </xdr:cNvPr>
        <xdr:cNvSpPr txBox="1"/>
      </xdr:nvSpPr>
      <xdr:spPr>
        <a:xfrm>
          <a:off x="7993572" y="2422360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9A2A013-AB47-46DE-A3A8-149506FA999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30</a:t>
          </a:fld>
          <a:endParaRPr lang="et-EE" sz="1100"/>
        </a:p>
      </xdr:txBody>
    </xdr:sp>
    <xdr:clientData/>
  </xdr:twoCellAnchor>
  <xdr:twoCellAnchor>
    <xdr:from>
      <xdr:col>14</xdr:col>
      <xdr:colOff>312020</xdr:colOff>
      <xdr:row>13</xdr:row>
      <xdr:rowOff>91536</xdr:rowOff>
    </xdr:from>
    <xdr:to>
      <xdr:col>15</xdr:col>
      <xdr:colOff>493187</xdr:colOff>
      <xdr:row>15</xdr:row>
      <xdr:rowOff>130853</xdr:rowOff>
    </xdr:to>
    <xdr:sp macro="" textlink="ANALYSIS!H115">
      <xdr:nvSpPr>
        <xdr:cNvPr id="911" name="TextBox 910">
          <a:extLst>
            <a:ext uri="{FF2B5EF4-FFF2-40B4-BE49-F238E27FC236}">
              <a16:creationId xmlns:a16="http://schemas.microsoft.com/office/drawing/2014/main" id="{061E6121-30C6-4293-A328-ED3E1767F6E0}"/>
            </a:ext>
          </a:extLst>
        </xdr:cNvPr>
        <xdr:cNvSpPr txBox="1"/>
      </xdr:nvSpPr>
      <xdr:spPr>
        <a:xfrm>
          <a:off x="8783667" y="2422360"/>
          <a:ext cx="78628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C4BD741-06C3-4E9B-ADA1-B644AF4D86F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15</xdr:col>
      <xdr:colOff>493187</xdr:colOff>
      <xdr:row>13</xdr:row>
      <xdr:rowOff>91536</xdr:rowOff>
    </xdr:from>
    <xdr:to>
      <xdr:col>17</xdr:col>
      <xdr:colOff>84477</xdr:colOff>
      <xdr:row>15</xdr:row>
      <xdr:rowOff>130853</xdr:rowOff>
    </xdr:to>
    <xdr:sp macro="" textlink="ANALYSIS!I115">
      <xdr:nvSpPr>
        <xdr:cNvPr id="912" name="TextBox 911">
          <a:extLst>
            <a:ext uri="{FF2B5EF4-FFF2-40B4-BE49-F238E27FC236}">
              <a16:creationId xmlns:a16="http://schemas.microsoft.com/office/drawing/2014/main" id="{3EEEB7BD-AB59-4712-8C19-1ABC424F386E}"/>
            </a:ext>
          </a:extLst>
        </xdr:cNvPr>
        <xdr:cNvSpPr txBox="1"/>
      </xdr:nvSpPr>
      <xdr:spPr>
        <a:xfrm>
          <a:off x="9569952" y="2422360"/>
          <a:ext cx="80152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17842A9-3B71-48A8-9970-2BE183BBAC2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17</xdr:col>
      <xdr:colOff>84477</xdr:colOff>
      <xdr:row>13</xdr:row>
      <xdr:rowOff>91536</xdr:rowOff>
    </xdr:from>
    <xdr:to>
      <xdr:col>18</xdr:col>
      <xdr:colOff>267549</xdr:colOff>
      <xdr:row>15</xdr:row>
      <xdr:rowOff>130853</xdr:rowOff>
    </xdr:to>
    <xdr:sp macro="" textlink="ANALYSIS!J115">
      <xdr:nvSpPr>
        <xdr:cNvPr id="913" name="TextBox 912">
          <a:extLst>
            <a:ext uri="{FF2B5EF4-FFF2-40B4-BE49-F238E27FC236}">
              <a16:creationId xmlns:a16="http://schemas.microsoft.com/office/drawing/2014/main" id="{C94448DD-3663-43DC-9E89-82430D143D24}"/>
            </a:ext>
          </a:extLst>
        </xdr:cNvPr>
        <xdr:cNvSpPr txBox="1"/>
      </xdr:nvSpPr>
      <xdr:spPr>
        <a:xfrm>
          <a:off x="10371477" y="2422360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48079C5-6A0B-4171-AE3E-11EA64A2C41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3%</a:t>
          </a:fld>
          <a:endParaRPr lang="et-EE" sz="1100"/>
        </a:p>
      </xdr:txBody>
    </xdr:sp>
    <xdr:clientData/>
  </xdr:twoCellAnchor>
  <xdr:twoCellAnchor>
    <xdr:from>
      <xdr:col>18</xdr:col>
      <xdr:colOff>267549</xdr:colOff>
      <xdr:row>13</xdr:row>
      <xdr:rowOff>91536</xdr:rowOff>
    </xdr:from>
    <xdr:to>
      <xdr:col>19</xdr:col>
      <xdr:colOff>460147</xdr:colOff>
      <xdr:row>15</xdr:row>
      <xdr:rowOff>130853</xdr:rowOff>
    </xdr:to>
    <xdr:sp macro="" textlink="ANALYSIS!K115">
      <xdr:nvSpPr>
        <xdr:cNvPr id="914" name="TextBox 913">
          <a:extLst>
            <a:ext uri="{FF2B5EF4-FFF2-40B4-BE49-F238E27FC236}">
              <a16:creationId xmlns:a16="http://schemas.microsoft.com/office/drawing/2014/main" id="{4ABCB181-B9CB-4DCD-880B-375B64A78E40}"/>
            </a:ext>
          </a:extLst>
        </xdr:cNvPr>
        <xdr:cNvSpPr txBox="1"/>
      </xdr:nvSpPr>
      <xdr:spPr>
        <a:xfrm>
          <a:off x="11159667" y="2422360"/>
          <a:ext cx="79771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6A90653-B325-4D0A-B736-175A49FBD2E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19</xdr:col>
      <xdr:colOff>460147</xdr:colOff>
      <xdr:row>13</xdr:row>
      <xdr:rowOff>91536</xdr:rowOff>
    </xdr:from>
    <xdr:to>
      <xdr:col>21</xdr:col>
      <xdr:colOff>40006</xdr:colOff>
      <xdr:row>15</xdr:row>
      <xdr:rowOff>130853</xdr:rowOff>
    </xdr:to>
    <xdr:sp macro="" textlink="ANALYSIS!L115">
      <xdr:nvSpPr>
        <xdr:cNvPr id="915" name="TextBox 914">
          <a:extLst>
            <a:ext uri="{FF2B5EF4-FFF2-40B4-BE49-F238E27FC236}">
              <a16:creationId xmlns:a16="http://schemas.microsoft.com/office/drawing/2014/main" id="{3CDA3C0A-A990-46B5-A43C-86B750E64BD1}"/>
            </a:ext>
          </a:extLst>
        </xdr:cNvPr>
        <xdr:cNvSpPr txBox="1"/>
      </xdr:nvSpPr>
      <xdr:spPr>
        <a:xfrm>
          <a:off x="11957382" y="2422360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83D15E1-1003-4515-89E3-DF6919DDB53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271096</xdr:colOff>
      <xdr:row>15</xdr:row>
      <xdr:rowOff>134663</xdr:rowOff>
    </xdr:from>
    <xdr:to>
      <xdr:col>13</xdr:col>
      <xdr:colOff>130853</xdr:colOff>
      <xdr:row>17</xdr:row>
      <xdr:rowOff>168265</xdr:rowOff>
    </xdr:to>
    <xdr:sp macro="" textlink="">
      <xdr:nvSpPr>
        <xdr:cNvPr id="916" name="TextBox 915">
          <a:extLst>
            <a:ext uri="{FF2B5EF4-FFF2-40B4-BE49-F238E27FC236}">
              <a16:creationId xmlns:a16="http://schemas.microsoft.com/office/drawing/2014/main" id="{DE5C3F9C-6F50-4C32-A08C-558827303622}"/>
            </a:ext>
          </a:extLst>
        </xdr:cNvPr>
        <xdr:cNvSpPr txBox="1"/>
      </xdr:nvSpPr>
      <xdr:spPr>
        <a:xfrm>
          <a:off x="6960577" y="2882259"/>
          <a:ext cx="1076026" cy="39994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DA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127043</xdr:colOff>
      <xdr:row>15</xdr:row>
      <xdr:rowOff>130853</xdr:rowOff>
    </xdr:from>
    <xdr:to>
      <xdr:col>14</xdr:col>
      <xdr:colOff>312020</xdr:colOff>
      <xdr:row>17</xdr:row>
      <xdr:rowOff>164455</xdr:rowOff>
    </xdr:to>
    <xdr:sp macro="" textlink="ANALYSIS!G116">
      <xdr:nvSpPr>
        <xdr:cNvPr id="917" name="TextBox 916">
          <a:extLst>
            <a:ext uri="{FF2B5EF4-FFF2-40B4-BE49-F238E27FC236}">
              <a16:creationId xmlns:a16="http://schemas.microsoft.com/office/drawing/2014/main" id="{3283FDF7-3B1A-4C9C-B088-CB36AE3F319A}"/>
            </a:ext>
          </a:extLst>
        </xdr:cNvPr>
        <xdr:cNvSpPr txBox="1"/>
      </xdr:nvSpPr>
      <xdr:spPr>
        <a:xfrm>
          <a:off x="7993572" y="2820265"/>
          <a:ext cx="79009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B3E62B6-4864-4813-9D93-0C37CC3181B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38</a:t>
          </a:fld>
          <a:endParaRPr lang="et-EE" sz="1100"/>
        </a:p>
      </xdr:txBody>
    </xdr:sp>
    <xdr:clientData/>
  </xdr:twoCellAnchor>
  <xdr:twoCellAnchor>
    <xdr:from>
      <xdr:col>14</xdr:col>
      <xdr:colOff>312020</xdr:colOff>
      <xdr:row>15</xdr:row>
      <xdr:rowOff>130853</xdr:rowOff>
    </xdr:from>
    <xdr:to>
      <xdr:col>15</xdr:col>
      <xdr:colOff>493187</xdr:colOff>
      <xdr:row>17</xdr:row>
      <xdr:rowOff>164455</xdr:rowOff>
    </xdr:to>
    <xdr:sp macro="" textlink="ANALYSIS!H116">
      <xdr:nvSpPr>
        <xdr:cNvPr id="918" name="TextBox 917">
          <a:extLst>
            <a:ext uri="{FF2B5EF4-FFF2-40B4-BE49-F238E27FC236}">
              <a16:creationId xmlns:a16="http://schemas.microsoft.com/office/drawing/2014/main" id="{5D570B2C-E1A3-4B83-AE71-86F85C2B9FB4}"/>
            </a:ext>
          </a:extLst>
        </xdr:cNvPr>
        <xdr:cNvSpPr txBox="1"/>
      </xdr:nvSpPr>
      <xdr:spPr>
        <a:xfrm>
          <a:off x="8783667" y="2820265"/>
          <a:ext cx="78628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A673112-9E53-451D-84A3-2682C5C9AD0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7</a:t>
          </a:fld>
          <a:endParaRPr lang="et-EE" sz="1100"/>
        </a:p>
      </xdr:txBody>
    </xdr:sp>
    <xdr:clientData/>
  </xdr:twoCellAnchor>
  <xdr:twoCellAnchor>
    <xdr:from>
      <xdr:col>15</xdr:col>
      <xdr:colOff>493187</xdr:colOff>
      <xdr:row>15</xdr:row>
      <xdr:rowOff>130853</xdr:rowOff>
    </xdr:from>
    <xdr:to>
      <xdr:col>17</xdr:col>
      <xdr:colOff>84477</xdr:colOff>
      <xdr:row>17</xdr:row>
      <xdr:rowOff>164455</xdr:rowOff>
    </xdr:to>
    <xdr:sp macro="" textlink="ANALYSIS!I116">
      <xdr:nvSpPr>
        <xdr:cNvPr id="919" name="TextBox 918">
          <a:extLst>
            <a:ext uri="{FF2B5EF4-FFF2-40B4-BE49-F238E27FC236}">
              <a16:creationId xmlns:a16="http://schemas.microsoft.com/office/drawing/2014/main" id="{9DF6BF69-E1E0-4588-8C17-F174A5D560BB}"/>
            </a:ext>
          </a:extLst>
        </xdr:cNvPr>
        <xdr:cNvSpPr txBox="1"/>
      </xdr:nvSpPr>
      <xdr:spPr>
        <a:xfrm>
          <a:off x="9569952" y="2820265"/>
          <a:ext cx="80152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2AE4F28-1554-4648-A293-B21D7998B39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17</xdr:col>
      <xdr:colOff>84477</xdr:colOff>
      <xdr:row>15</xdr:row>
      <xdr:rowOff>130853</xdr:rowOff>
    </xdr:from>
    <xdr:to>
      <xdr:col>18</xdr:col>
      <xdr:colOff>267549</xdr:colOff>
      <xdr:row>17</xdr:row>
      <xdr:rowOff>164455</xdr:rowOff>
    </xdr:to>
    <xdr:sp macro="" textlink="ANALYSIS!J116">
      <xdr:nvSpPr>
        <xdr:cNvPr id="920" name="TextBox 919">
          <a:extLst>
            <a:ext uri="{FF2B5EF4-FFF2-40B4-BE49-F238E27FC236}">
              <a16:creationId xmlns:a16="http://schemas.microsoft.com/office/drawing/2014/main" id="{DFA2DED0-2395-4D4A-ADF0-6FDEF628DF65}"/>
            </a:ext>
          </a:extLst>
        </xdr:cNvPr>
        <xdr:cNvSpPr txBox="1"/>
      </xdr:nvSpPr>
      <xdr:spPr>
        <a:xfrm>
          <a:off x="10371477" y="2820265"/>
          <a:ext cx="788190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73C6EF2-C5A9-4F03-8A0B-5EA04ED1120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18%</a:t>
          </a:fld>
          <a:endParaRPr lang="et-EE" sz="1100"/>
        </a:p>
      </xdr:txBody>
    </xdr:sp>
    <xdr:clientData/>
  </xdr:twoCellAnchor>
  <xdr:twoCellAnchor>
    <xdr:from>
      <xdr:col>18</xdr:col>
      <xdr:colOff>267549</xdr:colOff>
      <xdr:row>15</xdr:row>
      <xdr:rowOff>130853</xdr:rowOff>
    </xdr:from>
    <xdr:to>
      <xdr:col>19</xdr:col>
      <xdr:colOff>460147</xdr:colOff>
      <xdr:row>17</xdr:row>
      <xdr:rowOff>164455</xdr:rowOff>
    </xdr:to>
    <xdr:sp macro="" textlink="ANALYSIS!K116">
      <xdr:nvSpPr>
        <xdr:cNvPr id="921" name="TextBox 920">
          <a:extLst>
            <a:ext uri="{FF2B5EF4-FFF2-40B4-BE49-F238E27FC236}">
              <a16:creationId xmlns:a16="http://schemas.microsoft.com/office/drawing/2014/main" id="{91479C6F-52AA-4079-A855-BDA4CDA0E365}"/>
            </a:ext>
          </a:extLst>
        </xdr:cNvPr>
        <xdr:cNvSpPr txBox="1"/>
      </xdr:nvSpPr>
      <xdr:spPr>
        <a:xfrm>
          <a:off x="11159667" y="2820265"/>
          <a:ext cx="79771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5AB667E-7385-4970-955D-1C3C32DE75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t-EE" sz="1100"/>
        </a:p>
      </xdr:txBody>
    </xdr:sp>
    <xdr:clientData/>
  </xdr:twoCellAnchor>
  <xdr:twoCellAnchor>
    <xdr:from>
      <xdr:col>19</xdr:col>
      <xdr:colOff>460147</xdr:colOff>
      <xdr:row>15</xdr:row>
      <xdr:rowOff>130853</xdr:rowOff>
    </xdr:from>
    <xdr:to>
      <xdr:col>21</xdr:col>
      <xdr:colOff>40006</xdr:colOff>
      <xdr:row>17</xdr:row>
      <xdr:rowOff>164455</xdr:rowOff>
    </xdr:to>
    <xdr:sp macro="" textlink="ANALYSIS!L116">
      <xdr:nvSpPr>
        <xdr:cNvPr id="922" name="TextBox 921">
          <a:extLst>
            <a:ext uri="{FF2B5EF4-FFF2-40B4-BE49-F238E27FC236}">
              <a16:creationId xmlns:a16="http://schemas.microsoft.com/office/drawing/2014/main" id="{86106E10-BB44-4B59-BE2F-D8F58322F576}"/>
            </a:ext>
          </a:extLst>
        </xdr:cNvPr>
        <xdr:cNvSpPr txBox="1"/>
      </xdr:nvSpPr>
      <xdr:spPr>
        <a:xfrm>
          <a:off x="11957382" y="2820265"/>
          <a:ext cx="790095" cy="39219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BB70CB2-39E1-40F9-B4C5-FE5F1FD2AFA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271096</xdr:colOff>
      <xdr:row>17</xdr:row>
      <xdr:rowOff>168265</xdr:rowOff>
    </xdr:from>
    <xdr:to>
      <xdr:col>13</xdr:col>
      <xdr:colOff>130853</xdr:colOff>
      <xdr:row>20</xdr:row>
      <xdr:rowOff>18763</xdr:rowOff>
    </xdr:to>
    <xdr:sp macro="" textlink="">
      <xdr:nvSpPr>
        <xdr:cNvPr id="923" name="TextBox 922">
          <a:extLst>
            <a:ext uri="{FF2B5EF4-FFF2-40B4-BE49-F238E27FC236}">
              <a16:creationId xmlns:a16="http://schemas.microsoft.com/office/drawing/2014/main" id="{45136B67-3512-4613-B8CA-A69A532C9CBA}"/>
            </a:ext>
          </a:extLst>
        </xdr:cNvPr>
        <xdr:cNvSpPr txBox="1"/>
      </xdr:nvSpPr>
      <xdr:spPr>
        <a:xfrm>
          <a:off x="6960577" y="3282207"/>
          <a:ext cx="1076026" cy="40001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DD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127043</xdr:colOff>
      <xdr:row>17</xdr:row>
      <xdr:rowOff>164455</xdr:rowOff>
    </xdr:from>
    <xdr:to>
      <xdr:col>14</xdr:col>
      <xdr:colOff>312020</xdr:colOff>
      <xdr:row>20</xdr:row>
      <xdr:rowOff>22573</xdr:rowOff>
    </xdr:to>
    <xdr:sp macro="" textlink="ANALYSIS!G118">
      <xdr:nvSpPr>
        <xdr:cNvPr id="924" name="TextBox 923">
          <a:extLst>
            <a:ext uri="{FF2B5EF4-FFF2-40B4-BE49-F238E27FC236}">
              <a16:creationId xmlns:a16="http://schemas.microsoft.com/office/drawing/2014/main" id="{D1FDB11E-DF2F-4DB8-B12A-1015A4457CA3}"/>
            </a:ext>
          </a:extLst>
        </xdr:cNvPr>
        <xdr:cNvSpPr txBox="1"/>
      </xdr:nvSpPr>
      <xdr:spPr>
        <a:xfrm>
          <a:off x="7993572" y="3212455"/>
          <a:ext cx="79009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3364173-E8DB-4ED0-B21A-C89C3E06136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21</a:t>
          </a:fld>
          <a:endParaRPr lang="et-EE" sz="1100"/>
        </a:p>
      </xdr:txBody>
    </xdr:sp>
    <xdr:clientData/>
  </xdr:twoCellAnchor>
  <xdr:twoCellAnchor>
    <xdr:from>
      <xdr:col>14</xdr:col>
      <xdr:colOff>312020</xdr:colOff>
      <xdr:row>17</xdr:row>
      <xdr:rowOff>164455</xdr:rowOff>
    </xdr:from>
    <xdr:to>
      <xdr:col>15</xdr:col>
      <xdr:colOff>493187</xdr:colOff>
      <xdr:row>20</xdr:row>
      <xdr:rowOff>22573</xdr:rowOff>
    </xdr:to>
    <xdr:sp macro="" textlink="ANALYSIS!H118">
      <xdr:nvSpPr>
        <xdr:cNvPr id="925" name="TextBox 924">
          <a:extLst>
            <a:ext uri="{FF2B5EF4-FFF2-40B4-BE49-F238E27FC236}">
              <a16:creationId xmlns:a16="http://schemas.microsoft.com/office/drawing/2014/main" id="{D21E07BA-4317-4BC9-A953-267DBDE29EEE}"/>
            </a:ext>
          </a:extLst>
        </xdr:cNvPr>
        <xdr:cNvSpPr txBox="1"/>
      </xdr:nvSpPr>
      <xdr:spPr>
        <a:xfrm>
          <a:off x="8783667" y="3212455"/>
          <a:ext cx="78628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AB70316-461D-43F9-B707-EB9E8339795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15</xdr:col>
      <xdr:colOff>493187</xdr:colOff>
      <xdr:row>17</xdr:row>
      <xdr:rowOff>164455</xdr:rowOff>
    </xdr:from>
    <xdr:to>
      <xdr:col>17</xdr:col>
      <xdr:colOff>84477</xdr:colOff>
      <xdr:row>20</xdr:row>
      <xdr:rowOff>22573</xdr:rowOff>
    </xdr:to>
    <xdr:sp macro="" textlink="ANALYSIS!I118">
      <xdr:nvSpPr>
        <xdr:cNvPr id="926" name="TextBox 925">
          <a:extLst>
            <a:ext uri="{FF2B5EF4-FFF2-40B4-BE49-F238E27FC236}">
              <a16:creationId xmlns:a16="http://schemas.microsoft.com/office/drawing/2014/main" id="{67BDA15A-67AE-4EBC-9711-26B787DA258E}"/>
            </a:ext>
          </a:extLst>
        </xdr:cNvPr>
        <xdr:cNvSpPr txBox="1"/>
      </xdr:nvSpPr>
      <xdr:spPr>
        <a:xfrm>
          <a:off x="9569952" y="3212455"/>
          <a:ext cx="80152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9B84C48-11BD-4C53-8E99-A0F239469C1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17</xdr:col>
      <xdr:colOff>84477</xdr:colOff>
      <xdr:row>17</xdr:row>
      <xdr:rowOff>164455</xdr:rowOff>
    </xdr:from>
    <xdr:to>
      <xdr:col>18</xdr:col>
      <xdr:colOff>267549</xdr:colOff>
      <xdr:row>20</xdr:row>
      <xdr:rowOff>22573</xdr:rowOff>
    </xdr:to>
    <xdr:sp macro="" textlink="ANALYSIS!J118">
      <xdr:nvSpPr>
        <xdr:cNvPr id="927" name="TextBox 926">
          <a:extLst>
            <a:ext uri="{FF2B5EF4-FFF2-40B4-BE49-F238E27FC236}">
              <a16:creationId xmlns:a16="http://schemas.microsoft.com/office/drawing/2014/main" id="{5C1569FD-0806-4434-94A9-92F3F943B17D}"/>
            </a:ext>
          </a:extLst>
        </xdr:cNvPr>
        <xdr:cNvSpPr txBox="1"/>
      </xdr:nvSpPr>
      <xdr:spPr>
        <a:xfrm>
          <a:off x="10371477" y="3212455"/>
          <a:ext cx="78819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388DDBF-5C23-4041-BC7A-4A4AA4BC4E2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14%</a:t>
          </a:fld>
          <a:endParaRPr lang="et-EE" sz="1100"/>
        </a:p>
      </xdr:txBody>
    </xdr:sp>
    <xdr:clientData/>
  </xdr:twoCellAnchor>
  <xdr:twoCellAnchor>
    <xdr:from>
      <xdr:col>18</xdr:col>
      <xdr:colOff>267549</xdr:colOff>
      <xdr:row>17</xdr:row>
      <xdr:rowOff>164455</xdr:rowOff>
    </xdr:from>
    <xdr:to>
      <xdr:col>19</xdr:col>
      <xdr:colOff>460147</xdr:colOff>
      <xdr:row>20</xdr:row>
      <xdr:rowOff>22573</xdr:rowOff>
    </xdr:to>
    <xdr:sp macro="" textlink="ANALYSIS!K118">
      <xdr:nvSpPr>
        <xdr:cNvPr id="928" name="TextBox 927">
          <a:extLst>
            <a:ext uri="{FF2B5EF4-FFF2-40B4-BE49-F238E27FC236}">
              <a16:creationId xmlns:a16="http://schemas.microsoft.com/office/drawing/2014/main" id="{D15F768F-0256-4C45-AACB-03918A64A9BD}"/>
            </a:ext>
          </a:extLst>
        </xdr:cNvPr>
        <xdr:cNvSpPr txBox="1"/>
      </xdr:nvSpPr>
      <xdr:spPr>
        <a:xfrm>
          <a:off x="11159667" y="3212455"/>
          <a:ext cx="79771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0018CC2-7803-47CA-9E84-C2179C81EEF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19</xdr:col>
      <xdr:colOff>460147</xdr:colOff>
      <xdr:row>17</xdr:row>
      <xdr:rowOff>164455</xdr:rowOff>
    </xdr:from>
    <xdr:to>
      <xdr:col>21</xdr:col>
      <xdr:colOff>40006</xdr:colOff>
      <xdr:row>20</xdr:row>
      <xdr:rowOff>22573</xdr:rowOff>
    </xdr:to>
    <xdr:sp macro="" textlink="ANALYSIS!L118">
      <xdr:nvSpPr>
        <xdr:cNvPr id="929" name="TextBox 928">
          <a:extLst>
            <a:ext uri="{FF2B5EF4-FFF2-40B4-BE49-F238E27FC236}">
              <a16:creationId xmlns:a16="http://schemas.microsoft.com/office/drawing/2014/main" id="{E16F709C-4671-4DF2-8DB6-29CA35DEB9A2}"/>
            </a:ext>
          </a:extLst>
        </xdr:cNvPr>
        <xdr:cNvSpPr txBox="1"/>
      </xdr:nvSpPr>
      <xdr:spPr>
        <a:xfrm>
          <a:off x="11957382" y="3212455"/>
          <a:ext cx="79009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A1EB5DD-14F1-4057-AFB0-CF169996310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271096</xdr:colOff>
      <xdr:row>20</xdr:row>
      <xdr:rowOff>18763</xdr:rowOff>
    </xdr:from>
    <xdr:to>
      <xdr:col>13</xdr:col>
      <xdr:colOff>130853</xdr:colOff>
      <xdr:row>22</xdr:row>
      <xdr:rowOff>58079</xdr:rowOff>
    </xdr:to>
    <xdr:sp macro="" textlink="">
      <xdr:nvSpPr>
        <xdr:cNvPr id="930" name="TextBox 929">
          <a:extLst>
            <a:ext uri="{FF2B5EF4-FFF2-40B4-BE49-F238E27FC236}">
              <a16:creationId xmlns:a16="http://schemas.microsoft.com/office/drawing/2014/main" id="{46F5F00F-9B18-4A45-82F3-309236E2F49D}"/>
            </a:ext>
          </a:extLst>
        </xdr:cNvPr>
        <xdr:cNvSpPr txBox="1"/>
      </xdr:nvSpPr>
      <xdr:spPr>
        <a:xfrm>
          <a:off x="6960577" y="3682225"/>
          <a:ext cx="1076026" cy="40566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 AD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127043</xdr:colOff>
      <xdr:row>20</xdr:row>
      <xdr:rowOff>22573</xdr:rowOff>
    </xdr:from>
    <xdr:to>
      <xdr:col>14</xdr:col>
      <xdr:colOff>312020</xdr:colOff>
      <xdr:row>22</xdr:row>
      <xdr:rowOff>61889</xdr:rowOff>
    </xdr:to>
    <xdr:sp macro="" textlink="ANALYSIS!G116">
      <xdr:nvSpPr>
        <xdr:cNvPr id="931" name="TextBox 930">
          <a:extLst>
            <a:ext uri="{FF2B5EF4-FFF2-40B4-BE49-F238E27FC236}">
              <a16:creationId xmlns:a16="http://schemas.microsoft.com/office/drawing/2014/main" id="{48CF14A8-D9D0-4E97-AC87-F1445B6D9791}"/>
            </a:ext>
          </a:extLst>
        </xdr:cNvPr>
        <xdr:cNvSpPr txBox="1"/>
      </xdr:nvSpPr>
      <xdr:spPr>
        <a:xfrm>
          <a:off x="7993572" y="3608455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F8CA98A3-E48F-417A-A8CE-D42B988A600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38</a:t>
          </a:fld>
          <a:endParaRPr lang="et-EE" sz="1100"/>
        </a:p>
      </xdr:txBody>
    </xdr:sp>
    <xdr:clientData/>
  </xdr:twoCellAnchor>
  <xdr:twoCellAnchor>
    <xdr:from>
      <xdr:col>14</xdr:col>
      <xdr:colOff>312020</xdr:colOff>
      <xdr:row>20</xdr:row>
      <xdr:rowOff>22573</xdr:rowOff>
    </xdr:from>
    <xdr:to>
      <xdr:col>15</xdr:col>
      <xdr:colOff>493187</xdr:colOff>
      <xdr:row>22</xdr:row>
      <xdr:rowOff>61889</xdr:rowOff>
    </xdr:to>
    <xdr:sp macro="" textlink="ANALYSIS!H116">
      <xdr:nvSpPr>
        <xdr:cNvPr id="932" name="TextBox 931">
          <a:extLst>
            <a:ext uri="{FF2B5EF4-FFF2-40B4-BE49-F238E27FC236}">
              <a16:creationId xmlns:a16="http://schemas.microsoft.com/office/drawing/2014/main" id="{8D62D1D4-1EEB-4282-A3B8-C17D65FA25FC}"/>
            </a:ext>
          </a:extLst>
        </xdr:cNvPr>
        <xdr:cNvSpPr txBox="1"/>
      </xdr:nvSpPr>
      <xdr:spPr>
        <a:xfrm>
          <a:off x="8783667" y="3608455"/>
          <a:ext cx="78628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9927C03-DA83-43EE-AD5F-D7689B61B2E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7</a:t>
          </a:fld>
          <a:endParaRPr lang="et-EE" sz="1100"/>
        </a:p>
      </xdr:txBody>
    </xdr:sp>
    <xdr:clientData/>
  </xdr:twoCellAnchor>
  <xdr:twoCellAnchor>
    <xdr:from>
      <xdr:col>15</xdr:col>
      <xdr:colOff>493187</xdr:colOff>
      <xdr:row>20</xdr:row>
      <xdr:rowOff>22573</xdr:rowOff>
    </xdr:from>
    <xdr:to>
      <xdr:col>17</xdr:col>
      <xdr:colOff>84477</xdr:colOff>
      <xdr:row>22</xdr:row>
      <xdr:rowOff>61889</xdr:rowOff>
    </xdr:to>
    <xdr:sp macro="" textlink="ANALYSIS!I116">
      <xdr:nvSpPr>
        <xdr:cNvPr id="933" name="TextBox 932">
          <a:extLst>
            <a:ext uri="{FF2B5EF4-FFF2-40B4-BE49-F238E27FC236}">
              <a16:creationId xmlns:a16="http://schemas.microsoft.com/office/drawing/2014/main" id="{160E4BED-084A-4192-A3D3-4555C55C414E}"/>
            </a:ext>
          </a:extLst>
        </xdr:cNvPr>
        <xdr:cNvSpPr txBox="1"/>
      </xdr:nvSpPr>
      <xdr:spPr>
        <a:xfrm>
          <a:off x="9569952" y="3608455"/>
          <a:ext cx="80152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FDC09D5-4594-4FC4-AF7F-DDC2B7B8DDD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17</xdr:col>
      <xdr:colOff>84477</xdr:colOff>
      <xdr:row>20</xdr:row>
      <xdr:rowOff>22573</xdr:rowOff>
    </xdr:from>
    <xdr:to>
      <xdr:col>18</xdr:col>
      <xdr:colOff>267549</xdr:colOff>
      <xdr:row>22</xdr:row>
      <xdr:rowOff>61889</xdr:rowOff>
    </xdr:to>
    <xdr:sp macro="" textlink="ANALYSIS!J116">
      <xdr:nvSpPr>
        <xdr:cNvPr id="934" name="TextBox 933">
          <a:extLst>
            <a:ext uri="{FF2B5EF4-FFF2-40B4-BE49-F238E27FC236}">
              <a16:creationId xmlns:a16="http://schemas.microsoft.com/office/drawing/2014/main" id="{6CD82113-6755-42ED-8444-49400CFA2304}"/>
            </a:ext>
          </a:extLst>
        </xdr:cNvPr>
        <xdr:cNvSpPr txBox="1"/>
      </xdr:nvSpPr>
      <xdr:spPr>
        <a:xfrm>
          <a:off x="10371477" y="3608455"/>
          <a:ext cx="788190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E747BA9-19EF-4250-982A-0AD1DDF35D1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18%</a:t>
          </a:fld>
          <a:endParaRPr lang="et-EE" sz="1100"/>
        </a:p>
      </xdr:txBody>
    </xdr:sp>
    <xdr:clientData/>
  </xdr:twoCellAnchor>
  <xdr:twoCellAnchor>
    <xdr:from>
      <xdr:col>18</xdr:col>
      <xdr:colOff>267549</xdr:colOff>
      <xdr:row>20</xdr:row>
      <xdr:rowOff>22573</xdr:rowOff>
    </xdr:from>
    <xdr:to>
      <xdr:col>19</xdr:col>
      <xdr:colOff>460147</xdr:colOff>
      <xdr:row>22</xdr:row>
      <xdr:rowOff>61889</xdr:rowOff>
    </xdr:to>
    <xdr:sp macro="" textlink="ANALYSIS!K116">
      <xdr:nvSpPr>
        <xdr:cNvPr id="935" name="TextBox 934">
          <a:extLst>
            <a:ext uri="{FF2B5EF4-FFF2-40B4-BE49-F238E27FC236}">
              <a16:creationId xmlns:a16="http://schemas.microsoft.com/office/drawing/2014/main" id="{16000FB6-7736-4D44-A609-AFB4A4851C22}"/>
            </a:ext>
          </a:extLst>
        </xdr:cNvPr>
        <xdr:cNvSpPr txBox="1"/>
      </xdr:nvSpPr>
      <xdr:spPr>
        <a:xfrm>
          <a:off x="11159667" y="3608455"/>
          <a:ext cx="79771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56811CE-0158-4E8E-9C4D-08FF490D9556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t-EE" sz="1100"/>
        </a:p>
      </xdr:txBody>
    </xdr:sp>
    <xdr:clientData/>
  </xdr:twoCellAnchor>
  <xdr:twoCellAnchor>
    <xdr:from>
      <xdr:col>19</xdr:col>
      <xdr:colOff>460147</xdr:colOff>
      <xdr:row>20</xdr:row>
      <xdr:rowOff>22573</xdr:rowOff>
    </xdr:from>
    <xdr:to>
      <xdr:col>21</xdr:col>
      <xdr:colOff>40006</xdr:colOff>
      <xdr:row>22</xdr:row>
      <xdr:rowOff>61889</xdr:rowOff>
    </xdr:to>
    <xdr:sp macro="" textlink="ANALYSIS!L116">
      <xdr:nvSpPr>
        <xdr:cNvPr id="936" name="TextBox 935">
          <a:extLst>
            <a:ext uri="{FF2B5EF4-FFF2-40B4-BE49-F238E27FC236}">
              <a16:creationId xmlns:a16="http://schemas.microsoft.com/office/drawing/2014/main" id="{F8825263-0C71-4AF7-A27B-5DF71AAC4B3D}"/>
            </a:ext>
          </a:extLst>
        </xdr:cNvPr>
        <xdr:cNvSpPr txBox="1"/>
      </xdr:nvSpPr>
      <xdr:spPr>
        <a:xfrm>
          <a:off x="11957382" y="3608455"/>
          <a:ext cx="790095" cy="39790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F096CA8-074E-42E7-9AE1-7879FAF825B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271096</xdr:colOff>
      <xdr:row>22</xdr:row>
      <xdr:rowOff>58079</xdr:rowOff>
    </xdr:from>
    <xdr:to>
      <xdr:col>13</xdr:col>
      <xdr:colOff>130853</xdr:colOff>
      <xdr:row>24</xdr:row>
      <xdr:rowOff>93586</xdr:rowOff>
    </xdr:to>
    <xdr:sp macro="" textlink="">
      <xdr:nvSpPr>
        <xdr:cNvPr id="937" name="TextBox 936">
          <a:extLst>
            <a:ext uri="{FF2B5EF4-FFF2-40B4-BE49-F238E27FC236}">
              <a16:creationId xmlns:a16="http://schemas.microsoft.com/office/drawing/2014/main" id="{A7E57BCF-61A9-4EA0-AD79-77B0FBFDCD94}"/>
            </a:ext>
          </a:extLst>
        </xdr:cNvPr>
        <xdr:cNvSpPr txBox="1"/>
      </xdr:nvSpPr>
      <xdr:spPr>
        <a:xfrm>
          <a:off x="6960577" y="4087887"/>
          <a:ext cx="1076026" cy="40185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EST</a:t>
          </a:r>
          <a:r>
            <a:rPr lang="en-US" sz="1000" baseline="0">
              <a:latin typeface="Titillium Bd" panose="00000800000000000000" pitchFamily="50" charset="0"/>
            </a:rPr>
            <a:t> STANDARD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127043</xdr:colOff>
      <xdr:row>22</xdr:row>
      <xdr:rowOff>61889</xdr:rowOff>
    </xdr:from>
    <xdr:to>
      <xdr:col>14</xdr:col>
      <xdr:colOff>312020</xdr:colOff>
      <xdr:row>24</xdr:row>
      <xdr:rowOff>97396</xdr:rowOff>
    </xdr:to>
    <xdr:sp macro="" textlink="ANALYSIS!G119">
      <xdr:nvSpPr>
        <xdr:cNvPr id="938" name="TextBox 937">
          <a:extLst>
            <a:ext uri="{FF2B5EF4-FFF2-40B4-BE49-F238E27FC236}">
              <a16:creationId xmlns:a16="http://schemas.microsoft.com/office/drawing/2014/main" id="{94B911EF-3D79-46FB-8D16-EFC04DFD051C}"/>
            </a:ext>
          </a:extLst>
        </xdr:cNvPr>
        <xdr:cNvSpPr txBox="1"/>
      </xdr:nvSpPr>
      <xdr:spPr>
        <a:xfrm>
          <a:off x="7993572" y="4006360"/>
          <a:ext cx="790095" cy="39409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5D1BB8A8-4617-4BE4-893E-82082D8349B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56</a:t>
          </a:fld>
          <a:endParaRPr lang="et-EE" sz="1100"/>
        </a:p>
      </xdr:txBody>
    </xdr:sp>
    <xdr:clientData/>
  </xdr:twoCellAnchor>
  <xdr:twoCellAnchor>
    <xdr:from>
      <xdr:col>14</xdr:col>
      <xdr:colOff>312020</xdr:colOff>
      <xdr:row>22</xdr:row>
      <xdr:rowOff>61889</xdr:rowOff>
    </xdr:from>
    <xdr:to>
      <xdr:col>15</xdr:col>
      <xdr:colOff>493187</xdr:colOff>
      <xdr:row>24</xdr:row>
      <xdr:rowOff>97396</xdr:rowOff>
    </xdr:to>
    <xdr:sp macro="" textlink="ANALYSIS!H119">
      <xdr:nvSpPr>
        <xdr:cNvPr id="939" name="TextBox 938">
          <a:extLst>
            <a:ext uri="{FF2B5EF4-FFF2-40B4-BE49-F238E27FC236}">
              <a16:creationId xmlns:a16="http://schemas.microsoft.com/office/drawing/2014/main" id="{B06C1644-8968-4024-84BC-0C79694F1D63}"/>
            </a:ext>
          </a:extLst>
        </xdr:cNvPr>
        <xdr:cNvSpPr txBox="1"/>
      </xdr:nvSpPr>
      <xdr:spPr>
        <a:xfrm>
          <a:off x="8783667" y="4006360"/>
          <a:ext cx="786285" cy="39409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DF00103-7704-42F0-84C7-E344848F86A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3</a:t>
          </a:fld>
          <a:endParaRPr lang="et-EE" sz="1100"/>
        </a:p>
      </xdr:txBody>
    </xdr:sp>
    <xdr:clientData/>
  </xdr:twoCellAnchor>
  <xdr:twoCellAnchor>
    <xdr:from>
      <xdr:col>15</xdr:col>
      <xdr:colOff>493187</xdr:colOff>
      <xdr:row>22</xdr:row>
      <xdr:rowOff>61889</xdr:rowOff>
    </xdr:from>
    <xdr:to>
      <xdr:col>17</xdr:col>
      <xdr:colOff>84477</xdr:colOff>
      <xdr:row>24</xdr:row>
      <xdr:rowOff>97396</xdr:rowOff>
    </xdr:to>
    <xdr:sp macro="" textlink="ANALYSIS!I119">
      <xdr:nvSpPr>
        <xdr:cNvPr id="940" name="TextBox 939">
          <a:extLst>
            <a:ext uri="{FF2B5EF4-FFF2-40B4-BE49-F238E27FC236}">
              <a16:creationId xmlns:a16="http://schemas.microsoft.com/office/drawing/2014/main" id="{3E76C10C-25C7-4305-8557-A291B69CB162}"/>
            </a:ext>
          </a:extLst>
        </xdr:cNvPr>
        <xdr:cNvSpPr txBox="1"/>
      </xdr:nvSpPr>
      <xdr:spPr>
        <a:xfrm>
          <a:off x="9569952" y="4006360"/>
          <a:ext cx="801525" cy="39409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6908F88-BD91-4D59-970F-5A251CCA015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17</xdr:col>
      <xdr:colOff>84477</xdr:colOff>
      <xdr:row>22</xdr:row>
      <xdr:rowOff>61889</xdr:rowOff>
    </xdr:from>
    <xdr:to>
      <xdr:col>18</xdr:col>
      <xdr:colOff>267549</xdr:colOff>
      <xdr:row>24</xdr:row>
      <xdr:rowOff>97396</xdr:rowOff>
    </xdr:to>
    <xdr:sp macro="" textlink="ANALYSIS!J119">
      <xdr:nvSpPr>
        <xdr:cNvPr id="941" name="TextBox 940">
          <a:extLst>
            <a:ext uri="{FF2B5EF4-FFF2-40B4-BE49-F238E27FC236}">
              <a16:creationId xmlns:a16="http://schemas.microsoft.com/office/drawing/2014/main" id="{A4839434-6EA1-4979-B3D8-DDF45CC3DA43}"/>
            </a:ext>
          </a:extLst>
        </xdr:cNvPr>
        <xdr:cNvSpPr txBox="1"/>
      </xdr:nvSpPr>
      <xdr:spPr>
        <a:xfrm>
          <a:off x="10371477" y="4006360"/>
          <a:ext cx="788190" cy="39409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4CE8FE6-B296-4FFE-B55D-55A8135C908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5%</a:t>
          </a:fld>
          <a:endParaRPr lang="et-EE" sz="1100"/>
        </a:p>
      </xdr:txBody>
    </xdr:sp>
    <xdr:clientData/>
  </xdr:twoCellAnchor>
  <xdr:twoCellAnchor>
    <xdr:from>
      <xdr:col>18</xdr:col>
      <xdr:colOff>267549</xdr:colOff>
      <xdr:row>22</xdr:row>
      <xdr:rowOff>61889</xdr:rowOff>
    </xdr:from>
    <xdr:to>
      <xdr:col>19</xdr:col>
      <xdr:colOff>460147</xdr:colOff>
      <xdr:row>24</xdr:row>
      <xdr:rowOff>97396</xdr:rowOff>
    </xdr:to>
    <xdr:sp macro="" textlink="ANALYSIS!K119">
      <xdr:nvSpPr>
        <xdr:cNvPr id="942" name="TextBox 941">
          <a:extLst>
            <a:ext uri="{FF2B5EF4-FFF2-40B4-BE49-F238E27FC236}">
              <a16:creationId xmlns:a16="http://schemas.microsoft.com/office/drawing/2014/main" id="{2AA8BF00-3DAA-49B9-8E9A-767B9153530B}"/>
            </a:ext>
          </a:extLst>
        </xdr:cNvPr>
        <xdr:cNvSpPr txBox="1"/>
      </xdr:nvSpPr>
      <xdr:spPr>
        <a:xfrm>
          <a:off x="11159667" y="4006360"/>
          <a:ext cx="797715" cy="39409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8D3D7F9-B368-45EA-9040-455A42F8107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19</xdr:col>
      <xdr:colOff>460147</xdr:colOff>
      <xdr:row>22</xdr:row>
      <xdr:rowOff>61889</xdr:rowOff>
    </xdr:from>
    <xdr:to>
      <xdr:col>21</xdr:col>
      <xdr:colOff>40006</xdr:colOff>
      <xdr:row>24</xdr:row>
      <xdr:rowOff>97396</xdr:rowOff>
    </xdr:to>
    <xdr:sp macro="" textlink="ANALYSIS!L119">
      <xdr:nvSpPr>
        <xdr:cNvPr id="943" name="TextBox 942">
          <a:extLst>
            <a:ext uri="{FF2B5EF4-FFF2-40B4-BE49-F238E27FC236}">
              <a16:creationId xmlns:a16="http://schemas.microsoft.com/office/drawing/2014/main" id="{606F14BF-6918-4DBE-AE29-FF4CC3E21892}"/>
            </a:ext>
          </a:extLst>
        </xdr:cNvPr>
        <xdr:cNvSpPr txBox="1"/>
      </xdr:nvSpPr>
      <xdr:spPr>
        <a:xfrm>
          <a:off x="11957382" y="4006360"/>
          <a:ext cx="790095" cy="394095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4BCDB4F-F309-444D-B7C6-689F9E3DFB8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11</xdr:col>
      <xdr:colOff>271096</xdr:colOff>
      <xdr:row>24</xdr:row>
      <xdr:rowOff>93586</xdr:rowOff>
    </xdr:from>
    <xdr:to>
      <xdr:col>13</xdr:col>
      <xdr:colOff>130853</xdr:colOff>
      <xdr:row>26</xdr:row>
      <xdr:rowOff>130998</xdr:rowOff>
    </xdr:to>
    <xdr:sp macro="" textlink="">
      <xdr:nvSpPr>
        <xdr:cNvPr id="944" name="TextBox 943">
          <a:extLst>
            <a:ext uri="{FF2B5EF4-FFF2-40B4-BE49-F238E27FC236}">
              <a16:creationId xmlns:a16="http://schemas.microsoft.com/office/drawing/2014/main" id="{FF88D518-6C54-4FC0-872A-1ACE61DEB9A3}"/>
            </a:ext>
          </a:extLst>
        </xdr:cNvPr>
        <xdr:cNvSpPr txBox="1"/>
      </xdr:nvSpPr>
      <xdr:spPr>
        <a:xfrm>
          <a:off x="6960577" y="4489740"/>
          <a:ext cx="1076026" cy="403758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OPP</a:t>
          </a:r>
          <a:r>
            <a:rPr lang="en-US" sz="1000" baseline="0">
              <a:latin typeface="Titillium Bd" panose="00000800000000000000" pitchFamily="50" charset="0"/>
            </a:rPr>
            <a:t> STANDARD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13</xdr:col>
      <xdr:colOff>127043</xdr:colOff>
      <xdr:row>24</xdr:row>
      <xdr:rowOff>97396</xdr:rowOff>
    </xdr:from>
    <xdr:to>
      <xdr:col>14</xdr:col>
      <xdr:colOff>312020</xdr:colOff>
      <xdr:row>26</xdr:row>
      <xdr:rowOff>134808</xdr:rowOff>
    </xdr:to>
    <xdr:sp macro="" textlink="ANALYSIS!G120">
      <xdr:nvSpPr>
        <xdr:cNvPr id="945" name="TextBox 944">
          <a:extLst>
            <a:ext uri="{FF2B5EF4-FFF2-40B4-BE49-F238E27FC236}">
              <a16:creationId xmlns:a16="http://schemas.microsoft.com/office/drawing/2014/main" id="{FB3F2279-B84C-4DC4-B1DB-663B0176F91E}"/>
            </a:ext>
          </a:extLst>
        </xdr:cNvPr>
        <xdr:cNvSpPr txBox="1"/>
      </xdr:nvSpPr>
      <xdr:spPr>
        <a:xfrm>
          <a:off x="7993572" y="4400455"/>
          <a:ext cx="79009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C6CC0DD-5534-4AEA-9C49-059BA7364C2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48</a:t>
          </a:fld>
          <a:endParaRPr lang="et-EE" sz="1100"/>
        </a:p>
      </xdr:txBody>
    </xdr:sp>
    <xdr:clientData/>
  </xdr:twoCellAnchor>
  <xdr:twoCellAnchor>
    <xdr:from>
      <xdr:col>14</xdr:col>
      <xdr:colOff>312020</xdr:colOff>
      <xdr:row>24</xdr:row>
      <xdr:rowOff>97396</xdr:rowOff>
    </xdr:from>
    <xdr:to>
      <xdr:col>15</xdr:col>
      <xdr:colOff>493187</xdr:colOff>
      <xdr:row>26</xdr:row>
      <xdr:rowOff>134808</xdr:rowOff>
    </xdr:to>
    <xdr:sp macro="" textlink="ANALYSIS!H120">
      <xdr:nvSpPr>
        <xdr:cNvPr id="946" name="TextBox 945">
          <a:extLst>
            <a:ext uri="{FF2B5EF4-FFF2-40B4-BE49-F238E27FC236}">
              <a16:creationId xmlns:a16="http://schemas.microsoft.com/office/drawing/2014/main" id="{6497619B-EB69-4240-A926-84BE65EDD9EB}"/>
            </a:ext>
          </a:extLst>
        </xdr:cNvPr>
        <xdr:cNvSpPr txBox="1"/>
      </xdr:nvSpPr>
      <xdr:spPr>
        <a:xfrm>
          <a:off x="8783667" y="4400455"/>
          <a:ext cx="78628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27305EC-6229-40A8-A3B1-F3D6A53EAD39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4</a:t>
          </a:fld>
          <a:endParaRPr lang="et-EE" sz="1100"/>
        </a:p>
      </xdr:txBody>
    </xdr:sp>
    <xdr:clientData/>
  </xdr:twoCellAnchor>
  <xdr:twoCellAnchor>
    <xdr:from>
      <xdr:col>15</xdr:col>
      <xdr:colOff>493187</xdr:colOff>
      <xdr:row>24</xdr:row>
      <xdr:rowOff>97396</xdr:rowOff>
    </xdr:from>
    <xdr:to>
      <xdr:col>17</xdr:col>
      <xdr:colOff>84477</xdr:colOff>
      <xdr:row>26</xdr:row>
      <xdr:rowOff>134808</xdr:rowOff>
    </xdr:to>
    <xdr:sp macro="" textlink="ANALYSIS!I120">
      <xdr:nvSpPr>
        <xdr:cNvPr id="947" name="TextBox 946">
          <a:extLst>
            <a:ext uri="{FF2B5EF4-FFF2-40B4-BE49-F238E27FC236}">
              <a16:creationId xmlns:a16="http://schemas.microsoft.com/office/drawing/2014/main" id="{10951EF9-F1BE-4367-9C96-1EC408BC90A9}"/>
            </a:ext>
          </a:extLst>
        </xdr:cNvPr>
        <xdr:cNvSpPr txBox="1"/>
      </xdr:nvSpPr>
      <xdr:spPr>
        <a:xfrm>
          <a:off x="9569952" y="4400455"/>
          <a:ext cx="80152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8A97AB4-650A-4020-8C3D-43F93E4F245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17</xdr:col>
      <xdr:colOff>84477</xdr:colOff>
      <xdr:row>24</xdr:row>
      <xdr:rowOff>97396</xdr:rowOff>
    </xdr:from>
    <xdr:to>
      <xdr:col>18</xdr:col>
      <xdr:colOff>267549</xdr:colOff>
      <xdr:row>26</xdr:row>
      <xdr:rowOff>134808</xdr:rowOff>
    </xdr:to>
    <xdr:sp macro="" textlink="ANALYSIS!J120">
      <xdr:nvSpPr>
        <xdr:cNvPr id="948" name="TextBox 947">
          <a:extLst>
            <a:ext uri="{FF2B5EF4-FFF2-40B4-BE49-F238E27FC236}">
              <a16:creationId xmlns:a16="http://schemas.microsoft.com/office/drawing/2014/main" id="{5DDA8183-A246-467B-99B5-94BDE82B32B0}"/>
            </a:ext>
          </a:extLst>
        </xdr:cNvPr>
        <xdr:cNvSpPr txBox="1"/>
      </xdr:nvSpPr>
      <xdr:spPr>
        <a:xfrm>
          <a:off x="10371477" y="4400455"/>
          <a:ext cx="788190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AD28F21-F274-4269-B464-3AD623DA18ED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t-EE" sz="1100"/>
        </a:p>
      </xdr:txBody>
    </xdr:sp>
    <xdr:clientData/>
  </xdr:twoCellAnchor>
  <xdr:twoCellAnchor>
    <xdr:from>
      <xdr:col>18</xdr:col>
      <xdr:colOff>267549</xdr:colOff>
      <xdr:row>24</xdr:row>
      <xdr:rowOff>97396</xdr:rowOff>
    </xdr:from>
    <xdr:to>
      <xdr:col>19</xdr:col>
      <xdr:colOff>460147</xdr:colOff>
      <xdr:row>26</xdr:row>
      <xdr:rowOff>134808</xdr:rowOff>
    </xdr:to>
    <xdr:sp macro="" textlink="ANALYSIS!K120">
      <xdr:nvSpPr>
        <xdr:cNvPr id="949" name="TextBox 948">
          <a:extLst>
            <a:ext uri="{FF2B5EF4-FFF2-40B4-BE49-F238E27FC236}">
              <a16:creationId xmlns:a16="http://schemas.microsoft.com/office/drawing/2014/main" id="{529E0053-4B17-4ED1-90C6-5C037656FCED}"/>
            </a:ext>
          </a:extLst>
        </xdr:cNvPr>
        <xdr:cNvSpPr txBox="1"/>
      </xdr:nvSpPr>
      <xdr:spPr>
        <a:xfrm>
          <a:off x="11159667" y="4400455"/>
          <a:ext cx="79771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7189C5A-0AA1-407E-A2DC-02CDF9353E2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2%</a:t>
          </a:fld>
          <a:endParaRPr lang="et-EE" sz="1100"/>
        </a:p>
      </xdr:txBody>
    </xdr:sp>
    <xdr:clientData/>
  </xdr:twoCellAnchor>
  <xdr:twoCellAnchor>
    <xdr:from>
      <xdr:col>19</xdr:col>
      <xdr:colOff>460147</xdr:colOff>
      <xdr:row>24</xdr:row>
      <xdr:rowOff>97396</xdr:rowOff>
    </xdr:from>
    <xdr:to>
      <xdr:col>21</xdr:col>
      <xdr:colOff>40006</xdr:colOff>
      <xdr:row>26</xdr:row>
      <xdr:rowOff>134808</xdr:rowOff>
    </xdr:to>
    <xdr:sp macro="" textlink="ANALYSIS!L120">
      <xdr:nvSpPr>
        <xdr:cNvPr id="950" name="TextBox 949">
          <a:extLst>
            <a:ext uri="{FF2B5EF4-FFF2-40B4-BE49-F238E27FC236}">
              <a16:creationId xmlns:a16="http://schemas.microsoft.com/office/drawing/2014/main" id="{15BC7F9D-91F9-454B-92C0-B6A09D8CF97E}"/>
            </a:ext>
          </a:extLst>
        </xdr:cNvPr>
        <xdr:cNvSpPr txBox="1"/>
      </xdr:nvSpPr>
      <xdr:spPr>
        <a:xfrm>
          <a:off x="11957382" y="4400455"/>
          <a:ext cx="790095" cy="396000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22B1362-40FA-4FBE-AB91-104B7FF26AB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 </a:t>
          </a:fld>
          <a:endParaRPr lang="et-EE" sz="1100"/>
        </a:p>
      </xdr:txBody>
    </xdr:sp>
    <xdr:clientData/>
  </xdr:twoCellAnchor>
  <xdr:twoCellAnchor>
    <xdr:from>
      <xdr:col>2</xdr:col>
      <xdr:colOff>530087</xdr:colOff>
      <xdr:row>69</xdr:row>
      <xdr:rowOff>24848</xdr:rowOff>
    </xdr:from>
    <xdr:to>
      <xdr:col>3</xdr:col>
      <xdr:colOff>66261</xdr:colOff>
      <xdr:row>70</xdr:row>
      <xdr:rowOff>140805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38BA563-A115-F738-2B10-F1A2D9C7BD25}"/>
            </a:ext>
          </a:extLst>
        </xdr:cNvPr>
        <xdr:cNvSpPr txBox="1"/>
      </xdr:nvSpPr>
      <xdr:spPr>
        <a:xfrm>
          <a:off x="1755913" y="12622696"/>
          <a:ext cx="149087" cy="29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latin typeface="Titillium Bd" panose="00000800000000000000" pitchFamily="50" charset="0"/>
            </a:rPr>
            <a:t>:</a:t>
          </a:r>
          <a:endParaRPr lang="et-EE" sz="24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8</xdr:col>
      <xdr:colOff>265044</xdr:colOff>
      <xdr:row>68</xdr:row>
      <xdr:rowOff>178408</xdr:rowOff>
    </xdr:from>
    <xdr:to>
      <xdr:col>8</xdr:col>
      <xdr:colOff>408416</xdr:colOff>
      <xdr:row>70</xdr:row>
      <xdr:rowOff>112147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D3865AC0-4333-4DBB-ABA5-8C8E573CE2E2}"/>
            </a:ext>
          </a:extLst>
        </xdr:cNvPr>
        <xdr:cNvSpPr txBox="1"/>
      </xdr:nvSpPr>
      <xdr:spPr>
        <a:xfrm>
          <a:off x="5168348" y="12594038"/>
          <a:ext cx="143372" cy="29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latin typeface="Titillium Bd" panose="00000800000000000000" pitchFamily="50" charset="0"/>
            </a:rPr>
            <a:t>:</a:t>
          </a:r>
          <a:endParaRPr lang="et-EE" sz="24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</xdr:col>
      <xdr:colOff>554935</xdr:colOff>
      <xdr:row>76</xdr:row>
      <xdr:rowOff>174597</xdr:rowOff>
    </xdr:from>
    <xdr:to>
      <xdr:col>3</xdr:col>
      <xdr:colOff>79679</xdr:colOff>
      <xdr:row>78</xdr:row>
      <xdr:rowOff>115957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E1E5CA1-5B3B-40B3-BD36-DF23F5F3690A}"/>
            </a:ext>
          </a:extLst>
        </xdr:cNvPr>
        <xdr:cNvSpPr txBox="1"/>
      </xdr:nvSpPr>
      <xdr:spPr>
        <a:xfrm>
          <a:off x="1780761" y="14047967"/>
          <a:ext cx="137657" cy="3057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latin typeface="Titillium Bd" panose="00000800000000000000" pitchFamily="50" charset="0"/>
            </a:rPr>
            <a:t>:</a:t>
          </a:r>
          <a:endParaRPr lang="et-EE" sz="24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8</xdr:col>
      <xdr:colOff>252951</xdr:colOff>
      <xdr:row>76</xdr:row>
      <xdr:rowOff>162504</xdr:rowOff>
    </xdr:from>
    <xdr:to>
      <xdr:col>8</xdr:col>
      <xdr:colOff>400133</xdr:colOff>
      <xdr:row>78</xdr:row>
      <xdr:rowOff>113389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B8EAC73-8830-4659-A7E6-5B65123C6DF8}"/>
            </a:ext>
          </a:extLst>
        </xdr:cNvPr>
        <xdr:cNvSpPr txBox="1"/>
      </xdr:nvSpPr>
      <xdr:spPr>
        <a:xfrm>
          <a:off x="5156255" y="14035874"/>
          <a:ext cx="147182" cy="3153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latin typeface="Titillium Bd" panose="00000800000000000000" pitchFamily="50" charset="0"/>
            </a:rPr>
            <a:t>:</a:t>
          </a:r>
          <a:endParaRPr lang="et-EE" sz="24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22</xdr:col>
      <xdr:colOff>182871</xdr:colOff>
      <xdr:row>154</xdr:row>
      <xdr:rowOff>67627</xdr:rowOff>
    </xdr:from>
    <xdr:to>
      <xdr:col>32</xdr:col>
      <xdr:colOff>325541</xdr:colOff>
      <xdr:row>176</xdr:row>
      <xdr:rowOff>14700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650682B-4D98-4A2E-9BD9-0CA262765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21772</xdr:colOff>
      <xdr:row>146</xdr:row>
      <xdr:rowOff>6</xdr:rowOff>
    </xdr:from>
    <xdr:to>
      <xdr:col>32</xdr:col>
      <xdr:colOff>572663</xdr:colOff>
      <xdr:row>148</xdr:row>
      <xdr:rowOff>172583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23CA761-0759-40D5-9A10-54407528B16F}"/>
            </a:ext>
          </a:extLst>
        </xdr:cNvPr>
        <xdr:cNvSpPr txBox="1"/>
      </xdr:nvSpPr>
      <xdr:spPr>
        <a:xfrm>
          <a:off x="20138572" y="9437920"/>
          <a:ext cx="6646891" cy="57534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STANDARDID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22</xdr:col>
      <xdr:colOff>17366</xdr:colOff>
      <xdr:row>22</xdr:row>
      <xdr:rowOff>17143</xdr:rowOff>
    </xdr:from>
    <xdr:to>
      <xdr:col>32</xdr:col>
      <xdr:colOff>588866</xdr:colOff>
      <xdr:row>24</xdr:row>
      <xdr:rowOff>18181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A248577-C37A-412C-BD14-0705BFA37AD0}"/>
            </a:ext>
          </a:extLst>
        </xdr:cNvPr>
        <xdr:cNvSpPr txBox="1"/>
      </xdr:nvSpPr>
      <xdr:spPr>
        <a:xfrm>
          <a:off x="13329954" y="3961614"/>
          <a:ext cx="6622677" cy="35962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Ülevaade üleminekutest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385667</xdr:colOff>
      <xdr:row>25</xdr:row>
      <xdr:rowOff>91553</xdr:rowOff>
    </xdr:from>
    <xdr:to>
      <xdr:col>25</xdr:col>
      <xdr:colOff>576228</xdr:colOff>
      <xdr:row>29</xdr:row>
      <xdr:rowOff>94410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CFA52E4D-71AD-4C57-869A-3F57D6C4AC91}"/>
            </a:ext>
          </a:extLst>
        </xdr:cNvPr>
        <xdr:cNvSpPr txBox="1"/>
      </xdr:nvSpPr>
      <xdr:spPr>
        <a:xfrm>
          <a:off x="14908491" y="4573906"/>
          <a:ext cx="795678" cy="72003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KOKKU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25</xdr:col>
      <xdr:colOff>576228</xdr:colOff>
      <xdr:row>25</xdr:row>
      <xdr:rowOff>91553</xdr:rowOff>
    </xdr:from>
    <xdr:to>
      <xdr:col>27</xdr:col>
      <xdr:colOff>162688</xdr:colOff>
      <xdr:row>29</xdr:row>
      <xdr:rowOff>94410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2ED09548-C05F-4E55-A511-902C195B7949}"/>
            </a:ext>
          </a:extLst>
        </xdr:cNvPr>
        <xdr:cNvSpPr txBox="1"/>
      </xdr:nvSpPr>
      <xdr:spPr>
        <a:xfrm>
          <a:off x="15704169" y="4573906"/>
          <a:ext cx="796695" cy="72003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PEALELÖÖK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27</xdr:col>
      <xdr:colOff>162688</xdr:colOff>
      <xdr:row>25</xdr:row>
      <xdr:rowOff>91553</xdr:rowOff>
    </xdr:from>
    <xdr:to>
      <xdr:col>28</xdr:col>
      <xdr:colOff>379032</xdr:colOff>
      <xdr:row>29</xdr:row>
      <xdr:rowOff>94410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192F108F-2061-4DA5-A4AC-722409A428B6}"/>
            </a:ext>
          </a:extLst>
        </xdr:cNvPr>
        <xdr:cNvSpPr txBox="1"/>
      </xdr:nvSpPr>
      <xdr:spPr>
        <a:xfrm>
          <a:off x="16500864" y="4573906"/>
          <a:ext cx="821462" cy="72003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VÄRAV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28</xdr:col>
      <xdr:colOff>379032</xdr:colOff>
      <xdr:row>25</xdr:row>
      <xdr:rowOff>91553</xdr:rowOff>
    </xdr:from>
    <xdr:to>
      <xdr:col>29</xdr:col>
      <xdr:colOff>537206</xdr:colOff>
      <xdr:row>29</xdr:row>
      <xdr:rowOff>94410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FB50E5D-810C-40E6-BBAE-0333367CBB25}"/>
            </a:ext>
          </a:extLst>
        </xdr:cNvPr>
        <xdr:cNvSpPr txBox="1"/>
      </xdr:nvSpPr>
      <xdr:spPr>
        <a:xfrm>
          <a:off x="17322326" y="4573906"/>
          <a:ext cx="763292" cy="72003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SHOT / MOMENT%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29</xdr:col>
      <xdr:colOff>537206</xdr:colOff>
      <xdr:row>25</xdr:row>
      <xdr:rowOff>91553</xdr:rowOff>
    </xdr:from>
    <xdr:to>
      <xdr:col>31</xdr:col>
      <xdr:colOff>112238</xdr:colOff>
      <xdr:row>29</xdr:row>
      <xdr:rowOff>94410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888C5094-9192-40B1-B051-87FFBDA0D240}"/>
            </a:ext>
          </a:extLst>
        </xdr:cNvPr>
        <xdr:cNvSpPr txBox="1"/>
      </xdr:nvSpPr>
      <xdr:spPr>
        <a:xfrm>
          <a:off x="18085618" y="4573906"/>
          <a:ext cx="785267" cy="720033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GOAL / MOMENT%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194089</xdr:colOff>
      <xdr:row>29</xdr:row>
      <xdr:rowOff>94409</xdr:rowOff>
    </xdr:from>
    <xdr:to>
      <xdr:col>24</xdr:col>
      <xdr:colOff>385667</xdr:colOff>
      <xdr:row>31</xdr:row>
      <xdr:rowOff>98324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7D10297A-9FE0-4E07-B9B3-9BE094E9679C}"/>
            </a:ext>
          </a:extLst>
        </xdr:cNvPr>
        <xdr:cNvSpPr txBox="1"/>
      </xdr:nvSpPr>
      <xdr:spPr>
        <a:xfrm>
          <a:off x="14111795" y="5293938"/>
          <a:ext cx="796696" cy="3625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S1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385667</xdr:colOff>
      <xdr:row>29</xdr:row>
      <xdr:rowOff>94409</xdr:rowOff>
    </xdr:from>
    <xdr:to>
      <xdr:col>25</xdr:col>
      <xdr:colOff>576228</xdr:colOff>
      <xdr:row>31</xdr:row>
      <xdr:rowOff>98324</xdr:rowOff>
    </xdr:to>
    <xdr:sp macro="" textlink="ANALYSIS!AQ129">
      <xdr:nvSpPr>
        <xdr:cNvPr id="37" name="TextBox 36">
          <a:extLst>
            <a:ext uri="{FF2B5EF4-FFF2-40B4-BE49-F238E27FC236}">
              <a16:creationId xmlns:a16="http://schemas.microsoft.com/office/drawing/2014/main" id="{79692120-5D32-48E6-BED3-8404B3AF79AF}"/>
            </a:ext>
          </a:extLst>
        </xdr:cNvPr>
        <xdr:cNvSpPr txBox="1"/>
      </xdr:nvSpPr>
      <xdr:spPr>
        <a:xfrm>
          <a:off x="14908491" y="5293938"/>
          <a:ext cx="795678" cy="3625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827D8F8-C47B-4E50-A089-FCE7BA981888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9</a:t>
          </a:fld>
          <a:endParaRPr lang="et-EE" sz="1100"/>
        </a:p>
      </xdr:txBody>
    </xdr:sp>
    <xdr:clientData/>
  </xdr:twoCellAnchor>
  <xdr:twoCellAnchor>
    <xdr:from>
      <xdr:col>25</xdr:col>
      <xdr:colOff>576228</xdr:colOff>
      <xdr:row>29</xdr:row>
      <xdr:rowOff>94409</xdr:rowOff>
    </xdr:from>
    <xdr:to>
      <xdr:col>27</xdr:col>
      <xdr:colOff>162688</xdr:colOff>
      <xdr:row>31</xdr:row>
      <xdr:rowOff>98324</xdr:rowOff>
    </xdr:to>
    <xdr:sp macro="" textlink="ANALYSIS!AR129">
      <xdr:nvSpPr>
        <xdr:cNvPr id="38" name="TextBox 37">
          <a:extLst>
            <a:ext uri="{FF2B5EF4-FFF2-40B4-BE49-F238E27FC236}">
              <a16:creationId xmlns:a16="http://schemas.microsoft.com/office/drawing/2014/main" id="{99CFDCF7-255B-43C3-8A14-77B2792F9773}"/>
            </a:ext>
          </a:extLst>
        </xdr:cNvPr>
        <xdr:cNvSpPr txBox="1"/>
      </xdr:nvSpPr>
      <xdr:spPr>
        <a:xfrm>
          <a:off x="15704169" y="5293938"/>
          <a:ext cx="796695" cy="3625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BC078A7-9F5B-4A26-B6F2-A181F43A2A1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27</xdr:col>
      <xdr:colOff>162688</xdr:colOff>
      <xdr:row>29</xdr:row>
      <xdr:rowOff>94409</xdr:rowOff>
    </xdr:from>
    <xdr:to>
      <xdr:col>28</xdr:col>
      <xdr:colOff>379032</xdr:colOff>
      <xdr:row>31</xdr:row>
      <xdr:rowOff>98324</xdr:rowOff>
    </xdr:to>
    <xdr:sp macro="" textlink="ANALYSIS!AS129">
      <xdr:nvSpPr>
        <xdr:cNvPr id="39" name="TextBox 38">
          <a:extLst>
            <a:ext uri="{FF2B5EF4-FFF2-40B4-BE49-F238E27FC236}">
              <a16:creationId xmlns:a16="http://schemas.microsoft.com/office/drawing/2014/main" id="{C0BF8E60-E164-4330-9CD1-C05F47142CE4}"/>
            </a:ext>
          </a:extLst>
        </xdr:cNvPr>
        <xdr:cNvSpPr txBox="1"/>
      </xdr:nvSpPr>
      <xdr:spPr>
        <a:xfrm>
          <a:off x="16500864" y="5293938"/>
          <a:ext cx="821462" cy="3625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B3CB102A-138E-4A87-B0E5-4B52251F1BF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28</xdr:col>
      <xdr:colOff>379032</xdr:colOff>
      <xdr:row>29</xdr:row>
      <xdr:rowOff>94409</xdr:rowOff>
    </xdr:from>
    <xdr:to>
      <xdr:col>29</xdr:col>
      <xdr:colOff>537206</xdr:colOff>
      <xdr:row>31</xdr:row>
      <xdr:rowOff>98324</xdr:rowOff>
    </xdr:to>
    <xdr:sp macro="" textlink="ANALYSIS!AT129">
      <xdr:nvSpPr>
        <xdr:cNvPr id="40" name="TextBox 39">
          <a:extLst>
            <a:ext uri="{FF2B5EF4-FFF2-40B4-BE49-F238E27FC236}">
              <a16:creationId xmlns:a16="http://schemas.microsoft.com/office/drawing/2014/main" id="{CD5AE8A9-82CC-46EC-8CB4-B7DE28DA6466}"/>
            </a:ext>
          </a:extLst>
        </xdr:cNvPr>
        <xdr:cNvSpPr txBox="1"/>
      </xdr:nvSpPr>
      <xdr:spPr>
        <a:xfrm>
          <a:off x="17322326" y="5293938"/>
          <a:ext cx="763292" cy="3625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8AB9EDC-BCC6-4F95-9C07-4C99B504454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29</xdr:col>
      <xdr:colOff>537206</xdr:colOff>
      <xdr:row>29</xdr:row>
      <xdr:rowOff>94409</xdr:rowOff>
    </xdr:from>
    <xdr:to>
      <xdr:col>31</xdr:col>
      <xdr:colOff>112238</xdr:colOff>
      <xdr:row>31</xdr:row>
      <xdr:rowOff>98324</xdr:rowOff>
    </xdr:to>
    <xdr:sp macro="" textlink="ANALYSIS!AU129">
      <xdr:nvSpPr>
        <xdr:cNvPr id="41" name="TextBox 40">
          <a:extLst>
            <a:ext uri="{FF2B5EF4-FFF2-40B4-BE49-F238E27FC236}">
              <a16:creationId xmlns:a16="http://schemas.microsoft.com/office/drawing/2014/main" id="{A19BB1DF-6DD7-4DE3-9FA5-A4A276D9F505}"/>
            </a:ext>
          </a:extLst>
        </xdr:cNvPr>
        <xdr:cNvSpPr txBox="1"/>
      </xdr:nvSpPr>
      <xdr:spPr>
        <a:xfrm>
          <a:off x="18085618" y="5293938"/>
          <a:ext cx="785267" cy="362504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C03EBB5-0EEC-4BBD-9D66-08944CBCEC7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23</xdr:col>
      <xdr:colOff>194089</xdr:colOff>
      <xdr:row>31</xdr:row>
      <xdr:rowOff>94514</xdr:rowOff>
    </xdr:from>
    <xdr:to>
      <xdr:col>24</xdr:col>
      <xdr:colOff>391382</xdr:colOff>
      <xdr:row>33</xdr:row>
      <xdr:rowOff>101203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AC1C03B7-028C-4BA7-9ABC-9B666ECC66BA}"/>
            </a:ext>
          </a:extLst>
        </xdr:cNvPr>
        <xdr:cNvSpPr txBox="1"/>
      </xdr:nvSpPr>
      <xdr:spPr>
        <a:xfrm>
          <a:off x="14160120" y="5630920"/>
          <a:ext cx="804512" cy="36387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S2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387572</xdr:colOff>
      <xdr:row>31</xdr:row>
      <xdr:rowOff>94514</xdr:rowOff>
    </xdr:from>
    <xdr:to>
      <xdr:col>25</xdr:col>
      <xdr:colOff>578133</xdr:colOff>
      <xdr:row>33</xdr:row>
      <xdr:rowOff>101203</xdr:rowOff>
    </xdr:to>
    <xdr:sp macro="" textlink="ANALYSIS!AQ130">
      <xdr:nvSpPr>
        <xdr:cNvPr id="43" name="TextBox 42">
          <a:extLst>
            <a:ext uri="{FF2B5EF4-FFF2-40B4-BE49-F238E27FC236}">
              <a16:creationId xmlns:a16="http://schemas.microsoft.com/office/drawing/2014/main" id="{F7B46302-FE39-4E25-8DFE-F1DA938DB1A9}"/>
            </a:ext>
          </a:extLst>
        </xdr:cNvPr>
        <xdr:cNvSpPr txBox="1"/>
      </xdr:nvSpPr>
      <xdr:spPr>
        <a:xfrm>
          <a:off x="14960822" y="5630920"/>
          <a:ext cx="797780" cy="36387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16F103B-4DF9-41B2-9501-CDF12ED7AF7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11</a:t>
          </a:fld>
          <a:endParaRPr lang="et-EE" sz="1100"/>
        </a:p>
      </xdr:txBody>
    </xdr:sp>
    <xdr:clientData/>
  </xdr:twoCellAnchor>
  <xdr:twoCellAnchor>
    <xdr:from>
      <xdr:col>25</xdr:col>
      <xdr:colOff>578133</xdr:colOff>
      <xdr:row>31</xdr:row>
      <xdr:rowOff>94514</xdr:rowOff>
    </xdr:from>
    <xdr:to>
      <xdr:col>27</xdr:col>
      <xdr:colOff>164593</xdr:colOff>
      <xdr:row>33</xdr:row>
      <xdr:rowOff>101203</xdr:rowOff>
    </xdr:to>
    <xdr:sp macro="" textlink="ANALYSIS!AR130">
      <xdr:nvSpPr>
        <xdr:cNvPr id="44" name="TextBox 43">
          <a:extLst>
            <a:ext uri="{FF2B5EF4-FFF2-40B4-BE49-F238E27FC236}">
              <a16:creationId xmlns:a16="http://schemas.microsoft.com/office/drawing/2014/main" id="{1FBEF3A5-9DD4-4D41-BC12-CE2D02BF78B8}"/>
            </a:ext>
          </a:extLst>
        </xdr:cNvPr>
        <xdr:cNvSpPr txBox="1"/>
      </xdr:nvSpPr>
      <xdr:spPr>
        <a:xfrm>
          <a:off x="15758602" y="5630920"/>
          <a:ext cx="800897" cy="36387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C890764-BE77-4300-AA91-42BB913CB23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27</xdr:col>
      <xdr:colOff>164593</xdr:colOff>
      <xdr:row>31</xdr:row>
      <xdr:rowOff>94514</xdr:rowOff>
    </xdr:from>
    <xdr:to>
      <xdr:col>28</xdr:col>
      <xdr:colOff>379032</xdr:colOff>
      <xdr:row>33</xdr:row>
      <xdr:rowOff>101203</xdr:rowOff>
    </xdr:to>
    <xdr:sp macro="" textlink="ANALYSIS!AS130">
      <xdr:nvSpPr>
        <xdr:cNvPr id="45" name="TextBox 44">
          <a:extLst>
            <a:ext uri="{FF2B5EF4-FFF2-40B4-BE49-F238E27FC236}">
              <a16:creationId xmlns:a16="http://schemas.microsoft.com/office/drawing/2014/main" id="{B2108BF3-BD6B-463B-A502-D61777350883}"/>
            </a:ext>
          </a:extLst>
        </xdr:cNvPr>
        <xdr:cNvSpPr txBox="1"/>
      </xdr:nvSpPr>
      <xdr:spPr>
        <a:xfrm>
          <a:off x="16559499" y="5630920"/>
          <a:ext cx="821658" cy="36387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739F41F6-BF18-4738-8EE4-BF7FF5FB919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28</xdr:col>
      <xdr:colOff>379032</xdr:colOff>
      <xdr:row>31</xdr:row>
      <xdr:rowOff>94514</xdr:rowOff>
    </xdr:from>
    <xdr:to>
      <xdr:col>29</xdr:col>
      <xdr:colOff>537206</xdr:colOff>
      <xdr:row>33</xdr:row>
      <xdr:rowOff>101203</xdr:rowOff>
    </xdr:to>
    <xdr:sp macro="" textlink="ANALYSIS!AT130">
      <xdr:nvSpPr>
        <xdr:cNvPr id="46" name="TextBox 45">
          <a:extLst>
            <a:ext uri="{FF2B5EF4-FFF2-40B4-BE49-F238E27FC236}">
              <a16:creationId xmlns:a16="http://schemas.microsoft.com/office/drawing/2014/main" id="{81B04CEF-C69E-4280-A96F-049DBB8B3AB0}"/>
            </a:ext>
          </a:extLst>
        </xdr:cNvPr>
        <xdr:cNvSpPr txBox="1"/>
      </xdr:nvSpPr>
      <xdr:spPr>
        <a:xfrm>
          <a:off x="17381157" y="5630920"/>
          <a:ext cx="765393" cy="36387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6CAEDC66-5579-428F-8154-BE96F200C9C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29</xdr:col>
      <xdr:colOff>537206</xdr:colOff>
      <xdr:row>31</xdr:row>
      <xdr:rowOff>94514</xdr:rowOff>
    </xdr:from>
    <xdr:to>
      <xdr:col>31</xdr:col>
      <xdr:colOff>112238</xdr:colOff>
      <xdr:row>33</xdr:row>
      <xdr:rowOff>101203</xdr:rowOff>
    </xdr:to>
    <xdr:sp macro="" textlink="ANALYSIS!AU130">
      <xdr:nvSpPr>
        <xdr:cNvPr id="47" name="TextBox 46">
          <a:extLst>
            <a:ext uri="{FF2B5EF4-FFF2-40B4-BE49-F238E27FC236}">
              <a16:creationId xmlns:a16="http://schemas.microsoft.com/office/drawing/2014/main" id="{165B145C-DC62-44EB-B8EA-441C7AADCA96}"/>
            </a:ext>
          </a:extLst>
        </xdr:cNvPr>
        <xdr:cNvSpPr txBox="1"/>
      </xdr:nvSpPr>
      <xdr:spPr>
        <a:xfrm>
          <a:off x="18146550" y="5630920"/>
          <a:ext cx="789469" cy="36387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07911E8-343F-459F-84FA-036510569FF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23</xdr:col>
      <xdr:colOff>194089</xdr:colOff>
      <xdr:row>33</xdr:row>
      <xdr:rowOff>98324</xdr:rowOff>
    </xdr:from>
    <xdr:to>
      <xdr:col>24</xdr:col>
      <xdr:colOff>397097</xdr:colOff>
      <xdr:row>35</xdr:row>
      <xdr:rowOff>97394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36FC8A06-BE30-42A0-954D-1F795981A3ED}"/>
            </a:ext>
          </a:extLst>
        </xdr:cNvPr>
        <xdr:cNvSpPr txBox="1"/>
      </xdr:nvSpPr>
      <xdr:spPr>
        <a:xfrm>
          <a:off x="14160120" y="5991918"/>
          <a:ext cx="810227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S3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391382</xdr:colOff>
      <xdr:row>33</xdr:row>
      <xdr:rowOff>98324</xdr:rowOff>
    </xdr:from>
    <xdr:to>
      <xdr:col>25</xdr:col>
      <xdr:colOff>581943</xdr:colOff>
      <xdr:row>35</xdr:row>
      <xdr:rowOff>97394</xdr:rowOff>
    </xdr:to>
    <xdr:sp macro="" textlink="ANALYSIS!AQ131">
      <xdr:nvSpPr>
        <xdr:cNvPr id="55" name="TextBox 54">
          <a:extLst>
            <a:ext uri="{FF2B5EF4-FFF2-40B4-BE49-F238E27FC236}">
              <a16:creationId xmlns:a16="http://schemas.microsoft.com/office/drawing/2014/main" id="{321E1778-2AA1-42A3-83D4-EBBA0EA231DB}"/>
            </a:ext>
          </a:extLst>
        </xdr:cNvPr>
        <xdr:cNvSpPr txBox="1"/>
      </xdr:nvSpPr>
      <xdr:spPr>
        <a:xfrm>
          <a:off x="14964632" y="5991918"/>
          <a:ext cx="797780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F7B4654-9A4D-40AA-AB14-874E982DE29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25</xdr:col>
      <xdr:colOff>581943</xdr:colOff>
      <xdr:row>33</xdr:row>
      <xdr:rowOff>98324</xdr:rowOff>
    </xdr:from>
    <xdr:to>
      <xdr:col>27</xdr:col>
      <xdr:colOff>172213</xdr:colOff>
      <xdr:row>35</xdr:row>
      <xdr:rowOff>97394</xdr:rowOff>
    </xdr:to>
    <xdr:sp macro="" textlink="ANALYSIS!AR131">
      <xdr:nvSpPr>
        <xdr:cNvPr id="56" name="TextBox 55">
          <a:extLst>
            <a:ext uri="{FF2B5EF4-FFF2-40B4-BE49-F238E27FC236}">
              <a16:creationId xmlns:a16="http://schemas.microsoft.com/office/drawing/2014/main" id="{1449CF14-E6CE-4D29-87F7-BAB72B681272}"/>
            </a:ext>
          </a:extLst>
        </xdr:cNvPr>
        <xdr:cNvSpPr txBox="1"/>
      </xdr:nvSpPr>
      <xdr:spPr>
        <a:xfrm>
          <a:off x="15762412" y="5991918"/>
          <a:ext cx="804707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DBDB3F7-F6BB-45F4-B90D-330851798E5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27</xdr:col>
      <xdr:colOff>172213</xdr:colOff>
      <xdr:row>33</xdr:row>
      <xdr:rowOff>98324</xdr:rowOff>
    </xdr:from>
    <xdr:to>
      <xdr:col>28</xdr:col>
      <xdr:colOff>379032</xdr:colOff>
      <xdr:row>35</xdr:row>
      <xdr:rowOff>97394</xdr:rowOff>
    </xdr:to>
    <xdr:sp macro="" textlink="ANALYSIS!AS131">
      <xdr:nvSpPr>
        <xdr:cNvPr id="57" name="TextBox 56">
          <a:extLst>
            <a:ext uri="{FF2B5EF4-FFF2-40B4-BE49-F238E27FC236}">
              <a16:creationId xmlns:a16="http://schemas.microsoft.com/office/drawing/2014/main" id="{D8C240F3-B51D-4074-8DDC-21E1C9BB81FF}"/>
            </a:ext>
          </a:extLst>
        </xdr:cNvPr>
        <xdr:cNvSpPr txBox="1"/>
      </xdr:nvSpPr>
      <xdr:spPr>
        <a:xfrm>
          <a:off x="16567119" y="5991918"/>
          <a:ext cx="814038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39AA136D-28F7-4E5A-91E9-261790ACA7F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</a:t>
          </a:fld>
          <a:endParaRPr lang="et-EE" sz="1100"/>
        </a:p>
      </xdr:txBody>
    </xdr:sp>
    <xdr:clientData/>
  </xdr:twoCellAnchor>
  <xdr:twoCellAnchor>
    <xdr:from>
      <xdr:col>28</xdr:col>
      <xdr:colOff>379032</xdr:colOff>
      <xdr:row>33</xdr:row>
      <xdr:rowOff>98324</xdr:rowOff>
    </xdr:from>
    <xdr:to>
      <xdr:col>29</xdr:col>
      <xdr:colOff>537206</xdr:colOff>
      <xdr:row>35</xdr:row>
      <xdr:rowOff>97394</xdr:rowOff>
    </xdr:to>
    <xdr:sp macro="" textlink="ANALYSIS!AT131">
      <xdr:nvSpPr>
        <xdr:cNvPr id="58" name="TextBox 57">
          <a:extLst>
            <a:ext uri="{FF2B5EF4-FFF2-40B4-BE49-F238E27FC236}">
              <a16:creationId xmlns:a16="http://schemas.microsoft.com/office/drawing/2014/main" id="{2BFE186D-D392-4459-9D84-54D24B62401B}"/>
            </a:ext>
          </a:extLst>
        </xdr:cNvPr>
        <xdr:cNvSpPr txBox="1"/>
      </xdr:nvSpPr>
      <xdr:spPr>
        <a:xfrm>
          <a:off x="17381157" y="5991918"/>
          <a:ext cx="765393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E93F151-BDEF-4F32-AE0D-F8672EC2252B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29</xdr:col>
      <xdr:colOff>537206</xdr:colOff>
      <xdr:row>33</xdr:row>
      <xdr:rowOff>98324</xdr:rowOff>
    </xdr:from>
    <xdr:to>
      <xdr:col>31</xdr:col>
      <xdr:colOff>112238</xdr:colOff>
      <xdr:row>35</xdr:row>
      <xdr:rowOff>97394</xdr:rowOff>
    </xdr:to>
    <xdr:sp macro="" textlink="ANALYSIS!AU131">
      <xdr:nvSpPr>
        <xdr:cNvPr id="59" name="TextBox 58">
          <a:extLst>
            <a:ext uri="{FF2B5EF4-FFF2-40B4-BE49-F238E27FC236}">
              <a16:creationId xmlns:a16="http://schemas.microsoft.com/office/drawing/2014/main" id="{A1D5EBDC-83A0-4450-92CF-D623BDCE0309}"/>
            </a:ext>
          </a:extLst>
        </xdr:cNvPr>
        <xdr:cNvSpPr txBox="1"/>
      </xdr:nvSpPr>
      <xdr:spPr>
        <a:xfrm>
          <a:off x="18146550" y="5991918"/>
          <a:ext cx="789469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BD4CBC2-C8C5-4778-BA8B-C2FF2301CE1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0%</a:t>
          </a:fld>
          <a:endParaRPr lang="et-EE" sz="1100"/>
        </a:p>
      </xdr:txBody>
    </xdr:sp>
    <xdr:clientData/>
  </xdr:twoCellAnchor>
  <xdr:twoCellAnchor>
    <xdr:from>
      <xdr:col>24</xdr:col>
      <xdr:colOff>383983</xdr:colOff>
      <xdr:row>37</xdr:row>
      <xdr:rowOff>5953</xdr:rowOff>
    </xdr:from>
    <xdr:to>
      <xdr:col>25</xdr:col>
      <xdr:colOff>574544</xdr:colOff>
      <xdr:row>41</xdr:row>
      <xdr:rowOff>8810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94BACD1D-89F6-4DDE-9165-62C02B91CE09}"/>
            </a:ext>
          </a:extLst>
        </xdr:cNvPr>
        <xdr:cNvSpPr txBox="1"/>
      </xdr:nvSpPr>
      <xdr:spPr>
        <a:xfrm>
          <a:off x="14957233" y="6613922"/>
          <a:ext cx="797780" cy="71723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KOKKU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25</xdr:col>
      <xdr:colOff>574544</xdr:colOff>
      <xdr:row>37</xdr:row>
      <xdr:rowOff>5953</xdr:rowOff>
    </xdr:from>
    <xdr:to>
      <xdr:col>27</xdr:col>
      <xdr:colOff>162909</xdr:colOff>
      <xdr:row>41</xdr:row>
      <xdr:rowOff>8810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9CF46937-9D8B-4B93-974A-AABFF5FCD7F3}"/>
            </a:ext>
          </a:extLst>
        </xdr:cNvPr>
        <xdr:cNvSpPr txBox="1"/>
      </xdr:nvSpPr>
      <xdr:spPr>
        <a:xfrm>
          <a:off x="15755013" y="6613922"/>
          <a:ext cx="802802" cy="71723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latin typeface="Titillium Bd" panose="00000800000000000000" pitchFamily="50" charset="0"/>
            </a:rPr>
            <a:t>PEALELÖÖK</a:t>
          </a:r>
          <a:endParaRPr lang="et-EE" sz="9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27</xdr:col>
      <xdr:colOff>162909</xdr:colOff>
      <xdr:row>37</xdr:row>
      <xdr:rowOff>5953</xdr:rowOff>
    </xdr:from>
    <xdr:to>
      <xdr:col>28</xdr:col>
      <xdr:colOff>373538</xdr:colOff>
      <xdr:row>41</xdr:row>
      <xdr:rowOff>8810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56BAF902-1F58-4FD5-9ED6-8B6E89550B66}"/>
            </a:ext>
          </a:extLst>
        </xdr:cNvPr>
        <xdr:cNvSpPr txBox="1"/>
      </xdr:nvSpPr>
      <xdr:spPr>
        <a:xfrm>
          <a:off x="16557815" y="6613922"/>
          <a:ext cx="817848" cy="71723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VÄRAV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28</xdr:col>
      <xdr:colOff>373538</xdr:colOff>
      <xdr:row>37</xdr:row>
      <xdr:rowOff>5953</xdr:rowOff>
    </xdr:from>
    <xdr:to>
      <xdr:col>29</xdr:col>
      <xdr:colOff>533617</xdr:colOff>
      <xdr:row>41</xdr:row>
      <xdr:rowOff>8810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01D5A5-DA77-4B80-8259-DC5B908D9999}"/>
            </a:ext>
          </a:extLst>
        </xdr:cNvPr>
        <xdr:cNvSpPr txBox="1"/>
      </xdr:nvSpPr>
      <xdr:spPr>
        <a:xfrm>
          <a:off x="17375663" y="6613922"/>
          <a:ext cx="767298" cy="71723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SHOT / MOMENT%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29</xdr:col>
      <xdr:colOff>533617</xdr:colOff>
      <xdr:row>37</xdr:row>
      <xdr:rowOff>5953</xdr:rowOff>
    </xdr:from>
    <xdr:to>
      <xdr:col>31</xdr:col>
      <xdr:colOff>106744</xdr:colOff>
      <xdr:row>41</xdr:row>
      <xdr:rowOff>8810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4A5DCC21-CBB1-4BF5-9C05-053F2E5B2771}"/>
            </a:ext>
          </a:extLst>
        </xdr:cNvPr>
        <xdr:cNvSpPr txBox="1"/>
      </xdr:nvSpPr>
      <xdr:spPr>
        <a:xfrm>
          <a:off x="18142961" y="6613922"/>
          <a:ext cx="787564" cy="71723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>
              <a:latin typeface="Titillium Bd" panose="00000800000000000000" pitchFamily="50" charset="0"/>
            </a:rPr>
            <a:t>GOAL / MOMENT%</a:t>
          </a:r>
          <a:endParaRPr lang="et-EE" sz="10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190500</xdr:colOff>
      <xdr:row>41</xdr:row>
      <xdr:rowOff>8809</xdr:rowOff>
    </xdr:from>
    <xdr:to>
      <xdr:col>24</xdr:col>
      <xdr:colOff>383983</xdr:colOff>
      <xdr:row>43</xdr:row>
      <xdr:rowOff>1294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F740A356-252C-4F91-946A-49E16E30605D}"/>
            </a:ext>
          </a:extLst>
        </xdr:cNvPr>
        <xdr:cNvSpPr txBox="1"/>
      </xdr:nvSpPr>
      <xdr:spPr>
        <a:xfrm>
          <a:off x="14156531" y="7331153"/>
          <a:ext cx="800702" cy="3496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S1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383983</xdr:colOff>
      <xdr:row>41</xdr:row>
      <xdr:rowOff>8809</xdr:rowOff>
    </xdr:from>
    <xdr:to>
      <xdr:col>25</xdr:col>
      <xdr:colOff>574544</xdr:colOff>
      <xdr:row>43</xdr:row>
      <xdr:rowOff>1294</xdr:rowOff>
    </xdr:to>
    <xdr:sp macro="" textlink="ANALYSIS!AQ132">
      <xdr:nvSpPr>
        <xdr:cNvPr id="66" name="TextBox 65">
          <a:extLst>
            <a:ext uri="{FF2B5EF4-FFF2-40B4-BE49-F238E27FC236}">
              <a16:creationId xmlns:a16="http://schemas.microsoft.com/office/drawing/2014/main" id="{A1328E8E-DCC3-433E-A2CE-B4D8FDB90C44}"/>
            </a:ext>
          </a:extLst>
        </xdr:cNvPr>
        <xdr:cNvSpPr txBox="1"/>
      </xdr:nvSpPr>
      <xdr:spPr>
        <a:xfrm>
          <a:off x="14957233" y="7331153"/>
          <a:ext cx="797780" cy="3496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F39758A-E883-45AC-AD4D-681273027B4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25</xdr:col>
      <xdr:colOff>574544</xdr:colOff>
      <xdr:row>41</xdr:row>
      <xdr:rowOff>8809</xdr:rowOff>
    </xdr:from>
    <xdr:to>
      <xdr:col>27</xdr:col>
      <xdr:colOff>162909</xdr:colOff>
      <xdr:row>43</xdr:row>
      <xdr:rowOff>1294</xdr:rowOff>
    </xdr:to>
    <xdr:sp macro="" textlink="ANALYSIS!AR132">
      <xdr:nvSpPr>
        <xdr:cNvPr id="67" name="TextBox 66">
          <a:extLst>
            <a:ext uri="{FF2B5EF4-FFF2-40B4-BE49-F238E27FC236}">
              <a16:creationId xmlns:a16="http://schemas.microsoft.com/office/drawing/2014/main" id="{47BE0E9F-1786-432C-AC60-D6A2CDAC48E2}"/>
            </a:ext>
          </a:extLst>
        </xdr:cNvPr>
        <xdr:cNvSpPr txBox="1"/>
      </xdr:nvSpPr>
      <xdr:spPr>
        <a:xfrm>
          <a:off x="15755013" y="7331153"/>
          <a:ext cx="802802" cy="3496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E714749-0FAA-4351-8F69-BADD4B803580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27</xdr:col>
      <xdr:colOff>162909</xdr:colOff>
      <xdr:row>41</xdr:row>
      <xdr:rowOff>8809</xdr:rowOff>
    </xdr:from>
    <xdr:to>
      <xdr:col>28</xdr:col>
      <xdr:colOff>373538</xdr:colOff>
      <xdr:row>43</xdr:row>
      <xdr:rowOff>1294</xdr:rowOff>
    </xdr:to>
    <xdr:sp macro="" textlink="ANALYSIS!AS132">
      <xdr:nvSpPr>
        <xdr:cNvPr id="68" name="TextBox 67">
          <a:extLst>
            <a:ext uri="{FF2B5EF4-FFF2-40B4-BE49-F238E27FC236}">
              <a16:creationId xmlns:a16="http://schemas.microsoft.com/office/drawing/2014/main" id="{445F3EF9-8E21-4C23-8FD3-A700E160FD40}"/>
            </a:ext>
          </a:extLst>
        </xdr:cNvPr>
        <xdr:cNvSpPr txBox="1"/>
      </xdr:nvSpPr>
      <xdr:spPr>
        <a:xfrm>
          <a:off x="16557815" y="7331153"/>
          <a:ext cx="817848" cy="3496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E939CF6-55B9-4CBD-BFFF-7FBF7F71B3A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28</xdr:col>
      <xdr:colOff>373538</xdr:colOff>
      <xdr:row>41</xdr:row>
      <xdr:rowOff>8809</xdr:rowOff>
    </xdr:from>
    <xdr:to>
      <xdr:col>29</xdr:col>
      <xdr:colOff>533617</xdr:colOff>
      <xdr:row>43</xdr:row>
      <xdr:rowOff>1294</xdr:rowOff>
    </xdr:to>
    <xdr:sp macro="" textlink="ANALYSIS!AT132">
      <xdr:nvSpPr>
        <xdr:cNvPr id="69" name="TextBox 68">
          <a:extLst>
            <a:ext uri="{FF2B5EF4-FFF2-40B4-BE49-F238E27FC236}">
              <a16:creationId xmlns:a16="http://schemas.microsoft.com/office/drawing/2014/main" id="{433A4428-A022-434C-914F-EBEE381C403E}"/>
            </a:ext>
          </a:extLst>
        </xdr:cNvPr>
        <xdr:cNvSpPr txBox="1"/>
      </xdr:nvSpPr>
      <xdr:spPr>
        <a:xfrm>
          <a:off x="17375663" y="7331153"/>
          <a:ext cx="767298" cy="3496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48733AD-F134-4FA0-AD1E-71834528DA1F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50%</a:t>
          </a:fld>
          <a:endParaRPr lang="et-EE" sz="1100"/>
        </a:p>
      </xdr:txBody>
    </xdr:sp>
    <xdr:clientData/>
  </xdr:twoCellAnchor>
  <xdr:twoCellAnchor>
    <xdr:from>
      <xdr:col>29</xdr:col>
      <xdr:colOff>533617</xdr:colOff>
      <xdr:row>41</xdr:row>
      <xdr:rowOff>8809</xdr:rowOff>
    </xdr:from>
    <xdr:to>
      <xdr:col>31</xdr:col>
      <xdr:colOff>106744</xdr:colOff>
      <xdr:row>43</xdr:row>
      <xdr:rowOff>1294</xdr:rowOff>
    </xdr:to>
    <xdr:sp macro="" textlink="ANALYSIS!AU132">
      <xdr:nvSpPr>
        <xdr:cNvPr id="70" name="TextBox 69">
          <a:extLst>
            <a:ext uri="{FF2B5EF4-FFF2-40B4-BE49-F238E27FC236}">
              <a16:creationId xmlns:a16="http://schemas.microsoft.com/office/drawing/2014/main" id="{6197CFC5-B2E5-4A6C-BBC2-EE5AF38DD3CF}"/>
            </a:ext>
          </a:extLst>
        </xdr:cNvPr>
        <xdr:cNvSpPr txBox="1"/>
      </xdr:nvSpPr>
      <xdr:spPr>
        <a:xfrm>
          <a:off x="18142961" y="7331153"/>
          <a:ext cx="787564" cy="349672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4A0D19AD-07C9-4F8D-A84F-4268ACFF51EC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50%</a:t>
          </a:fld>
          <a:endParaRPr lang="et-EE" sz="1100"/>
        </a:p>
      </xdr:txBody>
    </xdr:sp>
    <xdr:clientData/>
  </xdr:twoCellAnchor>
  <xdr:twoCellAnchor>
    <xdr:from>
      <xdr:col>23</xdr:col>
      <xdr:colOff>190500</xdr:colOff>
      <xdr:row>43</xdr:row>
      <xdr:rowOff>8914</xdr:rowOff>
    </xdr:from>
    <xdr:to>
      <xdr:col>24</xdr:col>
      <xdr:colOff>391603</xdr:colOff>
      <xdr:row>45</xdr:row>
      <xdr:rowOff>7983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9B381476-1E37-4832-B19D-C6FF98FD35D2}"/>
            </a:ext>
          </a:extLst>
        </xdr:cNvPr>
        <xdr:cNvSpPr txBox="1"/>
      </xdr:nvSpPr>
      <xdr:spPr>
        <a:xfrm>
          <a:off x="14156531" y="7688445"/>
          <a:ext cx="808322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S2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387793</xdr:colOff>
      <xdr:row>43</xdr:row>
      <xdr:rowOff>8914</xdr:rowOff>
    </xdr:from>
    <xdr:to>
      <xdr:col>25</xdr:col>
      <xdr:colOff>578354</xdr:colOff>
      <xdr:row>45</xdr:row>
      <xdr:rowOff>7983</xdr:rowOff>
    </xdr:to>
    <xdr:sp macro="" textlink="ANALYSIS!AQ133">
      <xdr:nvSpPr>
        <xdr:cNvPr id="72" name="TextBox 71">
          <a:extLst>
            <a:ext uri="{FF2B5EF4-FFF2-40B4-BE49-F238E27FC236}">
              <a16:creationId xmlns:a16="http://schemas.microsoft.com/office/drawing/2014/main" id="{8F8D47D4-DC7B-4E82-80A4-07DAAD432600}"/>
            </a:ext>
          </a:extLst>
        </xdr:cNvPr>
        <xdr:cNvSpPr txBox="1"/>
      </xdr:nvSpPr>
      <xdr:spPr>
        <a:xfrm>
          <a:off x="14961043" y="7688445"/>
          <a:ext cx="797780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CA6A380-874D-4F5A-A9F6-58264C4B3084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18</a:t>
          </a:fld>
          <a:endParaRPr lang="et-EE" sz="1100"/>
        </a:p>
      </xdr:txBody>
    </xdr:sp>
    <xdr:clientData/>
  </xdr:twoCellAnchor>
  <xdr:twoCellAnchor>
    <xdr:from>
      <xdr:col>25</xdr:col>
      <xdr:colOff>578354</xdr:colOff>
      <xdr:row>43</xdr:row>
      <xdr:rowOff>8914</xdr:rowOff>
    </xdr:from>
    <xdr:to>
      <xdr:col>27</xdr:col>
      <xdr:colOff>166719</xdr:colOff>
      <xdr:row>45</xdr:row>
      <xdr:rowOff>7983</xdr:rowOff>
    </xdr:to>
    <xdr:sp macro="" textlink="ANALYSIS!AR133">
      <xdr:nvSpPr>
        <xdr:cNvPr id="73" name="TextBox 72">
          <a:extLst>
            <a:ext uri="{FF2B5EF4-FFF2-40B4-BE49-F238E27FC236}">
              <a16:creationId xmlns:a16="http://schemas.microsoft.com/office/drawing/2014/main" id="{9FC1E47E-71FA-40C2-9294-C8DE1725C71C}"/>
            </a:ext>
          </a:extLst>
        </xdr:cNvPr>
        <xdr:cNvSpPr txBox="1"/>
      </xdr:nvSpPr>
      <xdr:spPr>
        <a:xfrm>
          <a:off x="15758823" y="7688445"/>
          <a:ext cx="802802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1C4452EC-537B-45E9-A4FF-2AD50E013C1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2</a:t>
          </a:fld>
          <a:endParaRPr lang="et-EE" sz="1100"/>
        </a:p>
      </xdr:txBody>
    </xdr:sp>
    <xdr:clientData/>
  </xdr:twoCellAnchor>
  <xdr:twoCellAnchor>
    <xdr:from>
      <xdr:col>27</xdr:col>
      <xdr:colOff>166719</xdr:colOff>
      <xdr:row>43</xdr:row>
      <xdr:rowOff>8914</xdr:rowOff>
    </xdr:from>
    <xdr:to>
      <xdr:col>28</xdr:col>
      <xdr:colOff>373538</xdr:colOff>
      <xdr:row>45</xdr:row>
      <xdr:rowOff>7983</xdr:rowOff>
    </xdr:to>
    <xdr:sp macro="" textlink="ANALYSIS!AS133">
      <xdr:nvSpPr>
        <xdr:cNvPr id="74" name="TextBox 73">
          <a:extLst>
            <a:ext uri="{FF2B5EF4-FFF2-40B4-BE49-F238E27FC236}">
              <a16:creationId xmlns:a16="http://schemas.microsoft.com/office/drawing/2014/main" id="{6721832D-D0F3-41B8-B152-DF15707FD5AF}"/>
            </a:ext>
          </a:extLst>
        </xdr:cNvPr>
        <xdr:cNvSpPr txBox="1"/>
      </xdr:nvSpPr>
      <xdr:spPr>
        <a:xfrm>
          <a:off x="16561625" y="7688445"/>
          <a:ext cx="814038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019360FD-8935-4017-9CB9-98E4A147569A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28</xdr:col>
      <xdr:colOff>373538</xdr:colOff>
      <xdr:row>43</xdr:row>
      <xdr:rowOff>8914</xdr:rowOff>
    </xdr:from>
    <xdr:to>
      <xdr:col>29</xdr:col>
      <xdr:colOff>533617</xdr:colOff>
      <xdr:row>45</xdr:row>
      <xdr:rowOff>7983</xdr:rowOff>
    </xdr:to>
    <xdr:sp macro="" textlink="ANALYSIS!AT133">
      <xdr:nvSpPr>
        <xdr:cNvPr id="75" name="TextBox 74">
          <a:extLst>
            <a:ext uri="{FF2B5EF4-FFF2-40B4-BE49-F238E27FC236}">
              <a16:creationId xmlns:a16="http://schemas.microsoft.com/office/drawing/2014/main" id="{282BD48B-399B-41FA-A05B-8F3CCE10ACD4}"/>
            </a:ext>
          </a:extLst>
        </xdr:cNvPr>
        <xdr:cNvSpPr txBox="1"/>
      </xdr:nvSpPr>
      <xdr:spPr>
        <a:xfrm>
          <a:off x="17375663" y="7688445"/>
          <a:ext cx="767298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E655BEA1-3144-4613-8FD1-0BC637AF3EA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11%</a:t>
          </a:fld>
          <a:endParaRPr lang="et-EE" sz="1100"/>
        </a:p>
      </xdr:txBody>
    </xdr:sp>
    <xdr:clientData/>
  </xdr:twoCellAnchor>
  <xdr:twoCellAnchor>
    <xdr:from>
      <xdr:col>29</xdr:col>
      <xdr:colOff>533617</xdr:colOff>
      <xdr:row>43</xdr:row>
      <xdr:rowOff>8914</xdr:rowOff>
    </xdr:from>
    <xdr:to>
      <xdr:col>31</xdr:col>
      <xdr:colOff>106744</xdr:colOff>
      <xdr:row>45</xdr:row>
      <xdr:rowOff>7983</xdr:rowOff>
    </xdr:to>
    <xdr:sp macro="" textlink="ANALYSIS!AU133">
      <xdr:nvSpPr>
        <xdr:cNvPr id="76" name="TextBox 75">
          <a:extLst>
            <a:ext uri="{FF2B5EF4-FFF2-40B4-BE49-F238E27FC236}">
              <a16:creationId xmlns:a16="http://schemas.microsoft.com/office/drawing/2014/main" id="{2856F447-3565-43E0-B887-EDECF9A1E922}"/>
            </a:ext>
          </a:extLst>
        </xdr:cNvPr>
        <xdr:cNvSpPr txBox="1"/>
      </xdr:nvSpPr>
      <xdr:spPr>
        <a:xfrm>
          <a:off x="18142961" y="7688445"/>
          <a:ext cx="787564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9662A89E-A918-4649-AD0B-F8E2DFD062F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6%</a:t>
          </a:fld>
          <a:endParaRPr lang="et-EE" sz="1100"/>
        </a:p>
      </xdr:txBody>
    </xdr:sp>
    <xdr:clientData/>
  </xdr:twoCellAnchor>
  <xdr:twoCellAnchor>
    <xdr:from>
      <xdr:col>23</xdr:col>
      <xdr:colOff>190500</xdr:colOff>
      <xdr:row>45</xdr:row>
      <xdr:rowOff>1294</xdr:rowOff>
    </xdr:from>
    <xdr:to>
      <xdr:col>24</xdr:col>
      <xdr:colOff>401128</xdr:colOff>
      <xdr:row>47</xdr:row>
      <xdr:rowOff>364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5FBF19E4-8F6B-42BE-BCA6-F090DAD035AB}"/>
            </a:ext>
          </a:extLst>
        </xdr:cNvPr>
        <xdr:cNvSpPr txBox="1"/>
      </xdr:nvSpPr>
      <xdr:spPr>
        <a:xfrm>
          <a:off x="14156531" y="8038013"/>
          <a:ext cx="817847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50">
              <a:latin typeface="Titillium Bd" panose="00000800000000000000" pitchFamily="50" charset="0"/>
            </a:rPr>
            <a:t>S3</a:t>
          </a:r>
          <a:endParaRPr lang="et-EE" sz="105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24</xdr:col>
      <xdr:colOff>391603</xdr:colOff>
      <xdr:row>45</xdr:row>
      <xdr:rowOff>1294</xdr:rowOff>
    </xdr:from>
    <xdr:to>
      <xdr:col>25</xdr:col>
      <xdr:colOff>582164</xdr:colOff>
      <xdr:row>47</xdr:row>
      <xdr:rowOff>364</xdr:rowOff>
    </xdr:to>
    <xdr:sp macro="" textlink="ANALYSIS!AQ134">
      <xdr:nvSpPr>
        <xdr:cNvPr id="78" name="TextBox 77">
          <a:extLst>
            <a:ext uri="{FF2B5EF4-FFF2-40B4-BE49-F238E27FC236}">
              <a16:creationId xmlns:a16="http://schemas.microsoft.com/office/drawing/2014/main" id="{54D3ECB3-0271-49A9-B7A2-E42DBEA80DC7}"/>
            </a:ext>
          </a:extLst>
        </xdr:cNvPr>
        <xdr:cNvSpPr txBox="1"/>
      </xdr:nvSpPr>
      <xdr:spPr>
        <a:xfrm>
          <a:off x="14964853" y="8038013"/>
          <a:ext cx="797780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D7010DAF-F6C4-482B-8FDB-0ED0754D9C2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11</a:t>
          </a:fld>
          <a:endParaRPr lang="et-EE" sz="1100"/>
        </a:p>
      </xdr:txBody>
    </xdr:sp>
    <xdr:clientData/>
  </xdr:twoCellAnchor>
  <xdr:twoCellAnchor>
    <xdr:from>
      <xdr:col>25</xdr:col>
      <xdr:colOff>582164</xdr:colOff>
      <xdr:row>45</xdr:row>
      <xdr:rowOff>1294</xdr:rowOff>
    </xdr:from>
    <xdr:to>
      <xdr:col>27</xdr:col>
      <xdr:colOff>166719</xdr:colOff>
      <xdr:row>47</xdr:row>
      <xdr:rowOff>364</xdr:rowOff>
    </xdr:to>
    <xdr:sp macro="" textlink="ANALYSIS!AR134">
      <xdr:nvSpPr>
        <xdr:cNvPr id="79" name="TextBox 78">
          <a:extLst>
            <a:ext uri="{FF2B5EF4-FFF2-40B4-BE49-F238E27FC236}">
              <a16:creationId xmlns:a16="http://schemas.microsoft.com/office/drawing/2014/main" id="{A4743C35-D27F-400F-A440-985641E7AF5E}"/>
            </a:ext>
          </a:extLst>
        </xdr:cNvPr>
        <xdr:cNvSpPr txBox="1"/>
      </xdr:nvSpPr>
      <xdr:spPr>
        <a:xfrm>
          <a:off x="15762633" y="8038013"/>
          <a:ext cx="798992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C3E6B00F-26A6-4FAA-AC47-F95B5783616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27</xdr:col>
      <xdr:colOff>166719</xdr:colOff>
      <xdr:row>45</xdr:row>
      <xdr:rowOff>1294</xdr:rowOff>
    </xdr:from>
    <xdr:to>
      <xdr:col>28</xdr:col>
      <xdr:colOff>373538</xdr:colOff>
      <xdr:row>47</xdr:row>
      <xdr:rowOff>364</xdr:rowOff>
    </xdr:to>
    <xdr:sp macro="" textlink="ANALYSIS!AS134">
      <xdr:nvSpPr>
        <xdr:cNvPr id="80" name="TextBox 79">
          <a:extLst>
            <a:ext uri="{FF2B5EF4-FFF2-40B4-BE49-F238E27FC236}">
              <a16:creationId xmlns:a16="http://schemas.microsoft.com/office/drawing/2014/main" id="{E70832E1-EEB7-4C36-8862-EDB23F6292B1}"/>
            </a:ext>
          </a:extLst>
        </xdr:cNvPr>
        <xdr:cNvSpPr txBox="1"/>
      </xdr:nvSpPr>
      <xdr:spPr>
        <a:xfrm>
          <a:off x="16561625" y="8038013"/>
          <a:ext cx="814038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84821DA9-41BA-42A4-B718-07E8FCDBA5C3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1</a:t>
          </a:fld>
          <a:endParaRPr lang="et-EE" sz="1100"/>
        </a:p>
      </xdr:txBody>
    </xdr:sp>
    <xdr:clientData/>
  </xdr:twoCellAnchor>
  <xdr:twoCellAnchor>
    <xdr:from>
      <xdr:col>28</xdr:col>
      <xdr:colOff>373538</xdr:colOff>
      <xdr:row>45</xdr:row>
      <xdr:rowOff>1294</xdr:rowOff>
    </xdr:from>
    <xdr:to>
      <xdr:col>29</xdr:col>
      <xdr:colOff>533617</xdr:colOff>
      <xdr:row>47</xdr:row>
      <xdr:rowOff>364</xdr:rowOff>
    </xdr:to>
    <xdr:sp macro="" textlink="ANALYSIS!AT134">
      <xdr:nvSpPr>
        <xdr:cNvPr id="81" name="TextBox 80">
          <a:extLst>
            <a:ext uri="{FF2B5EF4-FFF2-40B4-BE49-F238E27FC236}">
              <a16:creationId xmlns:a16="http://schemas.microsoft.com/office/drawing/2014/main" id="{5DD2CA87-EC2E-47F5-88CF-D6C5ACCED76D}"/>
            </a:ext>
          </a:extLst>
        </xdr:cNvPr>
        <xdr:cNvSpPr txBox="1"/>
      </xdr:nvSpPr>
      <xdr:spPr>
        <a:xfrm>
          <a:off x="17375663" y="8038013"/>
          <a:ext cx="767298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A807CF44-C6AC-46A0-91B3-95667D5D58EE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9%</a:t>
          </a:fld>
          <a:endParaRPr lang="et-EE" sz="1100"/>
        </a:p>
      </xdr:txBody>
    </xdr:sp>
    <xdr:clientData/>
  </xdr:twoCellAnchor>
  <xdr:twoCellAnchor>
    <xdr:from>
      <xdr:col>29</xdr:col>
      <xdr:colOff>533617</xdr:colOff>
      <xdr:row>45</xdr:row>
      <xdr:rowOff>1294</xdr:rowOff>
    </xdr:from>
    <xdr:to>
      <xdr:col>31</xdr:col>
      <xdr:colOff>106744</xdr:colOff>
      <xdr:row>47</xdr:row>
      <xdr:rowOff>364</xdr:rowOff>
    </xdr:to>
    <xdr:sp macro="" textlink="ANALYSIS!AU134">
      <xdr:nvSpPr>
        <xdr:cNvPr id="82" name="TextBox 81">
          <a:extLst>
            <a:ext uri="{FF2B5EF4-FFF2-40B4-BE49-F238E27FC236}">
              <a16:creationId xmlns:a16="http://schemas.microsoft.com/office/drawing/2014/main" id="{1F0B25D8-0DD0-4D48-9974-985A8C8123F1}"/>
            </a:ext>
          </a:extLst>
        </xdr:cNvPr>
        <xdr:cNvSpPr txBox="1"/>
      </xdr:nvSpPr>
      <xdr:spPr>
        <a:xfrm>
          <a:off x="18142961" y="8038013"/>
          <a:ext cx="787564" cy="356257"/>
        </a:xfrm>
        <a:prstGeom prst="rect">
          <a:avLst/>
        </a:prstGeom>
        <a:noFill/>
        <a:ln w="9525" cmpd="sng">
          <a:solidFill>
            <a:srgbClr val="000000"/>
          </a:solidFill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fld id="{237EB692-0D81-455A-A764-F6FC5E2BFE6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9%</a:t>
          </a:fld>
          <a:endParaRPr lang="et-EE" sz="1100"/>
        </a:p>
      </xdr:txBody>
    </xdr:sp>
    <xdr:clientData/>
  </xdr:twoCellAnchor>
  <xdr:twoCellAnchor>
    <xdr:from>
      <xdr:col>23</xdr:col>
      <xdr:colOff>190500</xdr:colOff>
      <xdr:row>37</xdr:row>
      <xdr:rowOff>5953</xdr:rowOff>
    </xdr:from>
    <xdr:to>
      <xdr:col>24</xdr:col>
      <xdr:colOff>381000</xdr:colOff>
      <xdr:row>41</xdr:row>
      <xdr:rowOff>9763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3BAC7B2F-90AD-97AB-B843-3BCCF4228148}"/>
            </a:ext>
          </a:extLst>
        </xdr:cNvPr>
        <xdr:cNvSpPr txBox="1"/>
      </xdr:nvSpPr>
      <xdr:spPr>
        <a:xfrm>
          <a:off x="14156531" y="6613922"/>
          <a:ext cx="797719" cy="718185"/>
        </a:xfrm>
        <a:prstGeom prst="rect">
          <a:avLst/>
        </a:prstGeom>
        <a:noFill/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latin typeface="Titillium Bd" panose="00000800000000000000" pitchFamily="50" charset="0"/>
            </a:rPr>
            <a:t>AD</a:t>
          </a:r>
          <a:endParaRPr lang="et-EE" sz="110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23</xdr:col>
      <xdr:colOff>196453</xdr:colOff>
      <xdr:row>25</xdr:row>
      <xdr:rowOff>91202</xdr:rowOff>
    </xdr:from>
    <xdr:to>
      <xdr:col>24</xdr:col>
      <xdr:colOff>386953</xdr:colOff>
      <xdr:row>29</xdr:row>
      <xdr:rowOff>95012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707251FE-ED07-4367-9B7A-17C4ECA6854F}"/>
            </a:ext>
          </a:extLst>
        </xdr:cNvPr>
        <xdr:cNvSpPr txBox="1"/>
      </xdr:nvSpPr>
      <xdr:spPr>
        <a:xfrm>
          <a:off x="14162484" y="4556046"/>
          <a:ext cx="797719" cy="718185"/>
        </a:xfrm>
        <a:prstGeom prst="rect">
          <a:avLst/>
        </a:prstGeom>
        <a:noFill/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latin typeface="Titillium Bd" panose="00000800000000000000" pitchFamily="50" charset="0"/>
            </a:rPr>
            <a:t>DA</a:t>
          </a:r>
          <a:endParaRPr lang="et-EE" sz="1100">
            <a:latin typeface="Titillium Bd" panose="00000800000000000000" pitchFamily="50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8932</xdr:rowOff>
    </xdr:from>
    <xdr:to>
      <xdr:col>6</xdr:col>
      <xdr:colOff>819966</xdr:colOff>
      <xdr:row>10</xdr:row>
      <xdr:rowOff>68629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D2B80A5-C437-4F82-B8B5-DCC4A7A0C5C1}"/>
            </a:ext>
          </a:extLst>
        </xdr:cNvPr>
        <xdr:cNvSpPr txBox="1"/>
      </xdr:nvSpPr>
      <xdr:spPr>
        <a:xfrm>
          <a:off x="0" y="1474317"/>
          <a:ext cx="5736331" cy="42604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Üleminekute mapping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0</xdr:col>
      <xdr:colOff>0</xdr:colOff>
      <xdr:row>48</xdr:row>
      <xdr:rowOff>181852</xdr:rowOff>
    </xdr:from>
    <xdr:to>
      <xdr:col>6</xdr:col>
      <xdr:colOff>816156</xdr:colOff>
      <xdr:row>50</xdr:row>
      <xdr:rowOff>178732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72C3197-3A23-4982-900D-51A372347542}"/>
            </a:ext>
          </a:extLst>
        </xdr:cNvPr>
        <xdr:cNvSpPr txBox="1"/>
      </xdr:nvSpPr>
      <xdr:spPr>
        <a:xfrm>
          <a:off x="0" y="10117160"/>
          <a:ext cx="5732521" cy="36322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latin typeface="Titillium Bd" panose="00000800000000000000" pitchFamily="50" charset="0"/>
            </a:rPr>
            <a:t>Üleminekute</a:t>
          </a:r>
          <a:r>
            <a:rPr lang="en-US" sz="2400" b="0" baseline="0">
              <a:latin typeface="Titillium Bd" panose="00000800000000000000" pitchFamily="50" charset="0"/>
            </a:rPr>
            <a:t> mapping poolaegade kaupa</a:t>
          </a:r>
          <a:endParaRPr lang="et-EE" sz="2400" b="0">
            <a:latin typeface="Titillium Bd" panose="00000800000000000000" pitchFamily="50" charset="0"/>
          </a:endParaRPr>
        </a:p>
      </xdr:txBody>
    </xdr:sp>
    <xdr:clientData/>
  </xdr:twoCellAnchor>
  <xdr:twoCellAnchor>
    <xdr:from>
      <xdr:col>0</xdr:col>
      <xdr:colOff>21590</xdr:colOff>
      <xdr:row>3</xdr:row>
      <xdr:rowOff>29845</xdr:rowOff>
    </xdr:from>
    <xdr:to>
      <xdr:col>7</xdr:col>
      <xdr:colOff>60234</xdr:colOff>
      <xdr:row>6</xdr:row>
      <xdr:rowOff>11093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766D21-FC9B-4AFE-AC1A-B1C7CEC4E921}"/>
            </a:ext>
          </a:extLst>
        </xdr:cNvPr>
        <xdr:cNvSpPr txBox="1"/>
      </xdr:nvSpPr>
      <xdr:spPr>
        <a:xfrm>
          <a:off x="21590" y="553720"/>
          <a:ext cx="5785394" cy="50512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ÜLEMINEKUD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</xdr:colOff>
      <xdr:row>43</xdr:row>
      <xdr:rowOff>173068</xdr:rowOff>
    </xdr:from>
    <xdr:to>
      <xdr:col>7</xdr:col>
      <xdr:colOff>7328</xdr:colOff>
      <xdr:row>47</xdr:row>
      <xdr:rowOff>22577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9DBD845-408A-40F5-A7E8-432925252945}"/>
            </a:ext>
          </a:extLst>
        </xdr:cNvPr>
        <xdr:cNvSpPr txBox="1"/>
      </xdr:nvSpPr>
      <xdr:spPr>
        <a:xfrm>
          <a:off x="1" y="9192510"/>
          <a:ext cx="5744308" cy="58220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latin typeface="Hanse" panose="02000000000000000000" pitchFamily="50" charset="0"/>
            </a:rPr>
            <a:t>ÜLEMINEKUD</a:t>
          </a:r>
          <a:endParaRPr lang="et-EE" sz="3600">
            <a:latin typeface="Hanse" panose="02000000000000000000" pitchFamily="50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esktop\Team%20stats%202020_final.xlsm" TargetMode="External"/><Relationship Id="rId1" Type="http://schemas.openxmlformats.org/officeDocument/2006/relationships/externalLinkPath" Target="Team%20stats%202020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gandmed"/>
      <sheetName val="Settings"/>
      <sheetName val="Esitlus"/>
      <sheetName val="Lõppandmed"/>
      <sheetName val="Intensity"/>
      <sheetName val="ATT "/>
      <sheetName val="ATT DATA"/>
      <sheetName val="Esitlus1"/>
      <sheetName val="Esitlus2"/>
      <sheetName val="Esitlus3"/>
      <sheetName val="Esitlus4"/>
      <sheetName val="Esitlus5"/>
      <sheetName val="Esitlus6"/>
      <sheetName val="Esitlus7"/>
      <sheetName val="Esitlus8"/>
      <sheetName val="Üleminekud"/>
    </sheetNames>
    <sheetDataSet>
      <sheetData sheetId="0">
        <row r="1432">
          <cell r="AC1432">
            <v>1</v>
          </cell>
          <cell r="AD1432">
            <v>1</v>
          </cell>
          <cell r="AE1432">
            <v>2</v>
          </cell>
          <cell r="AG1432">
            <v>1</v>
          </cell>
          <cell r="AH1432">
            <v>5</v>
          </cell>
          <cell r="AI1432">
            <v>1</v>
          </cell>
          <cell r="AM1432">
            <v>1</v>
          </cell>
          <cell r="AN1432">
            <v>2</v>
          </cell>
          <cell r="AO1432">
            <v>2</v>
          </cell>
          <cell r="AQ1432">
            <v>0</v>
          </cell>
          <cell r="AR1432">
            <v>5</v>
          </cell>
          <cell r="AS1432">
            <v>2</v>
          </cell>
        </row>
        <row r="1433">
          <cell r="AC1433">
            <v>2</v>
          </cell>
          <cell r="AD1433">
            <v>1</v>
          </cell>
          <cell r="AE1433">
            <v>0</v>
          </cell>
          <cell r="AG1433">
            <v>1</v>
          </cell>
          <cell r="AH1433">
            <v>4</v>
          </cell>
          <cell r="AI1433">
            <v>1</v>
          </cell>
          <cell r="AM1433">
            <v>1</v>
          </cell>
          <cell r="AN1433">
            <v>2</v>
          </cell>
          <cell r="AO1433">
            <v>1</v>
          </cell>
          <cell r="AQ1433">
            <v>1</v>
          </cell>
          <cell r="AR1433">
            <v>3</v>
          </cell>
          <cell r="AS1433">
            <v>1</v>
          </cell>
        </row>
        <row r="1434">
          <cell r="AC1434">
            <v>2</v>
          </cell>
          <cell r="AD1434">
            <v>1</v>
          </cell>
          <cell r="AE1434">
            <v>1</v>
          </cell>
          <cell r="AG1434">
            <v>3</v>
          </cell>
          <cell r="AH1434">
            <v>3</v>
          </cell>
          <cell r="AI1434">
            <v>1</v>
          </cell>
          <cell r="AM1434">
            <v>0</v>
          </cell>
          <cell r="AN1434">
            <v>1</v>
          </cell>
          <cell r="AO1434">
            <v>0</v>
          </cell>
          <cell r="AQ1434">
            <v>1</v>
          </cell>
          <cell r="AR1434">
            <v>3</v>
          </cell>
          <cell r="AS1434">
            <v>0</v>
          </cell>
        </row>
        <row r="1435">
          <cell r="AC1435">
            <v>3</v>
          </cell>
          <cell r="AD1435">
            <v>0</v>
          </cell>
          <cell r="AE1435">
            <v>0</v>
          </cell>
          <cell r="AG1435">
            <v>2</v>
          </cell>
          <cell r="AH1435">
            <v>3</v>
          </cell>
          <cell r="AI1435">
            <v>3</v>
          </cell>
          <cell r="AM1435">
            <v>0</v>
          </cell>
          <cell r="AN1435">
            <v>3</v>
          </cell>
          <cell r="AO1435">
            <v>1</v>
          </cell>
          <cell r="AQ1435">
            <v>2</v>
          </cell>
          <cell r="AR1435">
            <v>4</v>
          </cell>
          <cell r="AS1435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46188-845F-4636-8BAD-331DE2EEE436}">
  <sheetPr codeName="Sheet1"/>
  <dimension ref="A1:Y225"/>
  <sheetViews>
    <sheetView topLeftCell="B1" zoomScale="85" zoomScaleNormal="85" workbookViewId="0">
      <selection activeCell="P1" sqref="P1"/>
    </sheetView>
  </sheetViews>
  <sheetFormatPr defaultColWidth="15.77734375" defaultRowHeight="14.4" x14ac:dyDescent="0.3"/>
  <sheetData>
    <row r="1" spans="1:25" x14ac:dyDescent="0.3">
      <c r="A1" t="s">
        <v>0</v>
      </c>
      <c r="B1" t="s">
        <v>3</v>
      </c>
      <c r="C1" t="s">
        <v>1</v>
      </c>
      <c r="D1" t="s">
        <v>2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13</v>
      </c>
      <c r="L1" t="s">
        <v>10</v>
      </c>
      <c r="M1" t="s">
        <v>11</v>
      </c>
      <c r="N1" t="s">
        <v>12</v>
      </c>
      <c r="O1" t="s">
        <v>15</v>
      </c>
      <c r="P1" t="s">
        <v>14</v>
      </c>
      <c r="Q1" t="s">
        <v>20</v>
      </c>
      <c r="R1" t="s">
        <v>17</v>
      </c>
      <c r="S1" t="s">
        <v>16</v>
      </c>
      <c r="T1" t="s">
        <v>18</v>
      </c>
      <c r="U1" t="s">
        <v>19</v>
      </c>
      <c r="V1" t="s">
        <v>285</v>
      </c>
      <c r="W1" t="s">
        <v>286</v>
      </c>
      <c r="X1" t="s">
        <v>287</v>
      </c>
      <c r="Y1" t="s">
        <v>288</v>
      </c>
    </row>
    <row r="2" spans="1:25" x14ac:dyDescent="0.3">
      <c r="A2" t="s">
        <v>34</v>
      </c>
      <c r="B2" t="s">
        <v>106</v>
      </c>
      <c r="C2">
        <v>0</v>
      </c>
      <c r="D2">
        <v>25256</v>
      </c>
      <c r="E2" t="s">
        <v>21</v>
      </c>
      <c r="K2" t="s">
        <v>116</v>
      </c>
      <c r="L2" t="s">
        <v>27</v>
      </c>
      <c r="M2" t="s">
        <v>119</v>
      </c>
      <c r="Q2">
        <f>ROUND(C2/60000, 0)+1</f>
        <v>1</v>
      </c>
      <c r="R2" cm="1">
        <f t="array" ref="R2">CalculateEventMomentumScore(E2, L2, M2, N2, O2, J2)</f>
        <v>0</v>
      </c>
      <c r="S2">
        <v>0</v>
      </c>
    </row>
    <row r="3" spans="1:25" x14ac:dyDescent="0.3">
      <c r="A3" t="s">
        <v>35</v>
      </c>
      <c r="B3" t="s">
        <v>106</v>
      </c>
      <c r="C3">
        <v>25163</v>
      </c>
      <c r="D3">
        <v>21614</v>
      </c>
      <c r="E3" t="s">
        <v>21</v>
      </c>
      <c r="I3" t="s">
        <v>111</v>
      </c>
      <c r="L3" t="s">
        <v>23</v>
      </c>
      <c r="M3" t="s">
        <v>24</v>
      </c>
      <c r="Q3">
        <f t="shared" ref="Q3:Q66" si="0">ROUND(C3/60000, 0)+1</f>
        <v>1</v>
      </c>
      <c r="R3" cm="1">
        <f t="array" ref="R3">CalculateEventMomentumScore(E3, L3, M3, N3, O3, J3)</f>
        <v>0</v>
      </c>
      <c r="S3">
        <f>R2+R3</f>
        <v>0</v>
      </c>
    </row>
    <row r="4" spans="1:25" x14ac:dyDescent="0.3">
      <c r="A4" t="s">
        <v>36</v>
      </c>
      <c r="B4" t="s">
        <v>106</v>
      </c>
      <c r="C4">
        <v>34377</v>
      </c>
      <c r="D4">
        <v>31419</v>
      </c>
      <c r="E4" t="s">
        <v>107</v>
      </c>
      <c r="F4" t="s">
        <v>108</v>
      </c>
      <c r="G4" t="s">
        <v>109</v>
      </c>
      <c r="H4" t="s">
        <v>110</v>
      </c>
      <c r="L4" t="s">
        <v>23</v>
      </c>
      <c r="M4" t="s">
        <v>120</v>
      </c>
      <c r="P4" t="s">
        <v>124</v>
      </c>
      <c r="Q4">
        <f t="shared" si="0"/>
        <v>2</v>
      </c>
      <c r="R4" cm="1">
        <f t="array" ref="R4">CalculateEventMomentumScore(E4, L4, M4, N4, O4, J4)</f>
        <v>-6</v>
      </c>
      <c r="S4">
        <f t="shared" ref="S4:S67" si="1">R3+R4</f>
        <v>-6</v>
      </c>
    </row>
    <row r="5" spans="1:25" x14ac:dyDescent="0.3">
      <c r="A5" t="s">
        <v>37</v>
      </c>
      <c r="B5" t="s">
        <v>106</v>
      </c>
      <c r="C5">
        <v>90161</v>
      </c>
      <c r="D5">
        <v>14807</v>
      </c>
      <c r="E5" t="s">
        <v>28</v>
      </c>
      <c r="K5" t="s">
        <v>117</v>
      </c>
      <c r="L5" t="s">
        <v>27</v>
      </c>
      <c r="M5" t="s">
        <v>24</v>
      </c>
      <c r="Q5">
        <f t="shared" si="0"/>
        <v>3</v>
      </c>
      <c r="R5" cm="1">
        <f t="array" ref="R5">CalculateEventMomentumScore(E5, L5, M5, N5, O5, J5)</f>
        <v>0</v>
      </c>
      <c r="S5">
        <f t="shared" si="1"/>
        <v>-6</v>
      </c>
    </row>
    <row r="6" spans="1:25" x14ac:dyDescent="0.3">
      <c r="A6" t="s">
        <v>38</v>
      </c>
      <c r="B6" t="s">
        <v>106</v>
      </c>
      <c r="C6">
        <v>98703</v>
      </c>
      <c r="D6">
        <v>18878</v>
      </c>
      <c r="E6" t="s">
        <v>28</v>
      </c>
      <c r="F6" t="s">
        <v>109</v>
      </c>
      <c r="J6" t="s">
        <v>115</v>
      </c>
      <c r="L6" t="s">
        <v>27</v>
      </c>
      <c r="M6" t="s">
        <v>29</v>
      </c>
      <c r="Q6">
        <f t="shared" si="0"/>
        <v>3</v>
      </c>
      <c r="R6" cm="1">
        <f t="array" ref="R6">CalculateEventMomentumScore(E6, L6, M6, N6, O6, J6)</f>
        <v>1</v>
      </c>
      <c r="S6">
        <f t="shared" si="1"/>
        <v>1</v>
      </c>
    </row>
    <row r="7" spans="1:25" x14ac:dyDescent="0.3">
      <c r="A7" t="s">
        <v>39</v>
      </c>
      <c r="B7" t="s">
        <v>106</v>
      </c>
      <c r="C7">
        <v>110582</v>
      </c>
      <c r="D7">
        <v>27487</v>
      </c>
      <c r="E7" t="s">
        <v>21</v>
      </c>
      <c r="F7" t="s">
        <v>108</v>
      </c>
      <c r="J7" t="s">
        <v>22</v>
      </c>
      <c r="L7" t="s">
        <v>23</v>
      </c>
      <c r="M7" t="s">
        <v>24</v>
      </c>
      <c r="Q7">
        <f t="shared" si="0"/>
        <v>3</v>
      </c>
      <c r="R7" cm="1">
        <f t="array" ref="R7">CalculateEventMomentumScore(E7, L7, M7, N7, O7, J7)</f>
        <v>-2</v>
      </c>
      <c r="S7">
        <f t="shared" si="1"/>
        <v>-1</v>
      </c>
    </row>
    <row r="8" spans="1:25" x14ac:dyDescent="0.3">
      <c r="A8" t="s">
        <v>40</v>
      </c>
      <c r="B8" t="s">
        <v>106</v>
      </c>
      <c r="C8">
        <v>121831</v>
      </c>
      <c r="D8">
        <v>34155</v>
      </c>
      <c r="E8" t="s">
        <v>107</v>
      </c>
      <c r="F8" t="s">
        <v>110</v>
      </c>
      <c r="L8" t="s">
        <v>23</v>
      </c>
      <c r="M8" t="s">
        <v>26</v>
      </c>
      <c r="P8" t="s">
        <v>125</v>
      </c>
      <c r="Q8">
        <f t="shared" si="0"/>
        <v>3</v>
      </c>
      <c r="R8" cm="1">
        <f t="array" ref="R8">CalculateEventMomentumScore(E8, L8, M8, N8, O8, J8)</f>
        <v>-20</v>
      </c>
      <c r="S8">
        <f t="shared" si="1"/>
        <v>-22</v>
      </c>
    </row>
    <row r="9" spans="1:25" x14ac:dyDescent="0.3">
      <c r="A9" t="s">
        <v>41</v>
      </c>
      <c r="B9" t="s">
        <v>106</v>
      </c>
      <c r="C9">
        <v>170441</v>
      </c>
      <c r="D9">
        <v>27153</v>
      </c>
      <c r="E9" t="s">
        <v>21</v>
      </c>
      <c r="K9" t="s">
        <v>116</v>
      </c>
      <c r="L9" t="s">
        <v>27</v>
      </c>
      <c r="M9" t="s">
        <v>29</v>
      </c>
      <c r="Q9">
        <f t="shared" si="0"/>
        <v>4</v>
      </c>
      <c r="R9" cm="1">
        <f t="array" ref="R9">CalculateEventMomentumScore(E9, L9, M9, N9, O9, J9)</f>
        <v>0</v>
      </c>
      <c r="S9">
        <f t="shared" si="1"/>
        <v>-20</v>
      </c>
    </row>
    <row r="10" spans="1:25" x14ac:dyDescent="0.3">
      <c r="A10" t="s">
        <v>42</v>
      </c>
      <c r="B10" t="s">
        <v>106</v>
      </c>
      <c r="C10">
        <v>190962</v>
      </c>
      <c r="D10">
        <v>50910</v>
      </c>
      <c r="E10" t="s">
        <v>21</v>
      </c>
      <c r="F10" t="s">
        <v>108</v>
      </c>
      <c r="G10" t="s">
        <v>109</v>
      </c>
      <c r="J10" t="s">
        <v>22</v>
      </c>
      <c r="L10" t="s">
        <v>23</v>
      </c>
      <c r="M10" t="s">
        <v>24</v>
      </c>
      <c r="Q10">
        <f t="shared" si="0"/>
        <v>4</v>
      </c>
      <c r="R10" cm="1">
        <f t="array" ref="R10">CalculateEventMomentumScore(E10, L10, M10, N10, O10, J10)</f>
        <v>-2</v>
      </c>
      <c r="S10">
        <f t="shared" si="1"/>
        <v>-2</v>
      </c>
    </row>
    <row r="11" spans="1:25" x14ac:dyDescent="0.3">
      <c r="A11" t="s">
        <v>43</v>
      </c>
      <c r="B11" t="s">
        <v>106</v>
      </c>
      <c r="C11">
        <v>225501</v>
      </c>
      <c r="D11">
        <v>18639</v>
      </c>
      <c r="E11" t="s">
        <v>107</v>
      </c>
      <c r="F11" t="s">
        <v>109</v>
      </c>
      <c r="G11" t="s">
        <v>110</v>
      </c>
      <c r="L11" t="s">
        <v>23</v>
      </c>
      <c r="M11" t="s">
        <v>120</v>
      </c>
      <c r="P11" t="s">
        <v>126</v>
      </c>
      <c r="Q11">
        <f t="shared" si="0"/>
        <v>5</v>
      </c>
      <c r="R11" cm="1">
        <f t="array" ref="R11">CalculateEventMomentumScore(E11, L11, M11, N11, O11, J11)</f>
        <v>-6</v>
      </c>
      <c r="S11">
        <f t="shared" si="1"/>
        <v>-8</v>
      </c>
    </row>
    <row r="12" spans="1:25" x14ac:dyDescent="0.3">
      <c r="A12" t="s">
        <v>44</v>
      </c>
      <c r="B12" t="s">
        <v>106</v>
      </c>
      <c r="C12">
        <v>291796</v>
      </c>
      <c r="D12">
        <v>17210</v>
      </c>
      <c r="E12" t="s">
        <v>28</v>
      </c>
      <c r="K12" t="s">
        <v>117</v>
      </c>
      <c r="L12" t="s">
        <v>27</v>
      </c>
      <c r="M12" t="s">
        <v>119</v>
      </c>
      <c r="Q12">
        <f t="shared" si="0"/>
        <v>6</v>
      </c>
      <c r="R12" cm="1">
        <f t="array" ref="R12">CalculateEventMomentumScore(E12, L12, M12, N12, O12, J12)</f>
        <v>0</v>
      </c>
      <c r="S12">
        <f t="shared" si="1"/>
        <v>-6</v>
      </c>
    </row>
    <row r="13" spans="1:25" x14ac:dyDescent="0.3">
      <c r="A13" t="s">
        <v>35</v>
      </c>
      <c r="B13" t="s">
        <v>106</v>
      </c>
      <c r="C13">
        <v>304108</v>
      </c>
      <c r="D13">
        <v>19278</v>
      </c>
      <c r="E13" t="s">
        <v>21</v>
      </c>
      <c r="I13" t="s">
        <v>111</v>
      </c>
      <c r="L13" t="s">
        <v>23</v>
      </c>
      <c r="M13" t="s">
        <v>24</v>
      </c>
      <c r="Q13">
        <f t="shared" si="0"/>
        <v>6</v>
      </c>
      <c r="R13" cm="1">
        <f t="array" ref="R13">CalculateEventMomentumScore(E13, L13, M13, N13, O13, J13)</f>
        <v>0</v>
      </c>
      <c r="S13">
        <f t="shared" si="1"/>
        <v>0</v>
      </c>
    </row>
    <row r="14" spans="1:25" x14ac:dyDescent="0.3">
      <c r="A14" t="s">
        <v>45</v>
      </c>
      <c r="B14" t="s">
        <v>106</v>
      </c>
      <c r="C14">
        <v>309886</v>
      </c>
      <c r="D14">
        <v>19474</v>
      </c>
      <c r="E14" t="s">
        <v>107</v>
      </c>
      <c r="F14" t="s">
        <v>108</v>
      </c>
      <c r="L14" t="s">
        <v>27</v>
      </c>
      <c r="M14" t="s">
        <v>29</v>
      </c>
      <c r="P14" t="s">
        <v>127</v>
      </c>
      <c r="Q14">
        <f t="shared" si="0"/>
        <v>6</v>
      </c>
      <c r="R14" cm="1">
        <f t="array" ref="R14">CalculateEventMomentumScore(E14, L14, M14, N14, O14, J14)</f>
        <v>1</v>
      </c>
      <c r="S14">
        <f t="shared" si="1"/>
        <v>1</v>
      </c>
    </row>
    <row r="15" spans="1:25" x14ac:dyDescent="0.3">
      <c r="A15" t="s">
        <v>46</v>
      </c>
      <c r="B15" t="s">
        <v>106</v>
      </c>
      <c r="C15">
        <v>325863</v>
      </c>
      <c r="D15">
        <v>15208</v>
      </c>
      <c r="E15" t="s">
        <v>21</v>
      </c>
      <c r="I15" t="s">
        <v>111</v>
      </c>
      <c r="L15" t="s">
        <v>27</v>
      </c>
      <c r="M15" t="s">
        <v>29</v>
      </c>
      <c r="Q15">
        <f t="shared" si="0"/>
        <v>6</v>
      </c>
      <c r="R15" cm="1">
        <f t="array" ref="R15">CalculateEventMomentumScore(E15, L15, M15, N15, O15, J15)</f>
        <v>0</v>
      </c>
      <c r="S15">
        <f t="shared" si="1"/>
        <v>1</v>
      </c>
    </row>
    <row r="16" spans="1:25" x14ac:dyDescent="0.3">
      <c r="A16" t="s">
        <v>47</v>
      </c>
      <c r="B16" t="s">
        <v>106</v>
      </c>
      <c r="C16">
        <v>330501</v>
      </c>
      <c r="D16">
        <v>19012</v>
      </c>
      <c r="E16" t="s">
        <v>21</v>
      </c>
      <c r="F16" t="s">
        <v>109</v>
      </c>
      <c r="J16" t="s">
        <v>115</v>
      </c>
      <c r="L16" t="s">
        <v>23</v>
      </c>
      <c r="M16" t="s">
        <v>24</v>
      </c>
      <c r="Q16">
        <f t="shared" si="0"/>
        <v>7</v>
      </c>
      <c r="R16" cm="1">
        <f t="array" ref="R16">CalculateEventMomentumScore(E16, L16, M16, N16, O16, J16)</f>
        <v>-1</v>
      </c>
      <c r="S16">
        <f t="shared" si="1"/>
        <v>-1</v>
      </c>
    </row>
    <row r="17" spans="1:19" x14ac:dyDescent="0.3">
      <c r="A17" t="s">
        <v>48</v>
      </c>
      <c r="B17" t="s">
        <v>106</v>
      </c>
      <c r="C17">
        <v>333743</v>
      </c>
      <c r="D17">
        <v>54375</v>
      </c>
      <c r="E17" t="s">
        <v>107</v>
      </c>
      <c r="F17" t="s">
        <v>109</v>
      </c>
      <c r="G17" t="s">
        <v>110</v>
      </c>
      <c r="L17" t="s">
        <v>27</v>
      </c>
      <c r="M17" t="s">
        <v>121</v>
      </c>
      <c r="P17" t="s">
        <v>128</v>
      </c>
      <c r="Q17">
        <f t="shared" si="0"/>
        <v>7</v>
      </c>
      <c r="R17" cm="1">
        <f t="array" ref="R17">CalculateEventMomentumScore(E17, L17, M17, N17, O17, J17)</f>
        <v>-17</v>
      </c>
      <c r="S17">
        <f t="shared" si="1"/>
        <v>-18</v>
      </c>
    </row>
    <row r="18" spans="1:19" x14ac:dyDescent="0.3">
      <c r="A18" t="s">
        <v>49</v>
      </c>
      <c r="B18" t="s">
        <v>106</v>
      </c>
      <c r="C18">
        <v>389894</v>
      </c>
      <c r="D18">
        <v>31224</v>
      </c>
      <c r="E18" t="s">
        <v>21</v>
      </c>
      <c r="F18" t="s">
        <v>108</v>
      </c>
      <c r="I18" t="s">
        <v>112</v>
      </c>
      <c r="J18" t="s">
        <v>22</v>
      </c>
      <c r="L18" t="s">
        <v>23</v>
      </c>
      <c r="M18" t="s">
        <v>24</v>
      </c>
      <c r="Q18">
        <f t="shared" si="0"/>
        <v>7</v>
      </c>
      <c r="R18" cm="1">
        <f t="array" ref="R18">CalculateEventMomentumScore(E18, L18, M18, N18, O18, J18)</f>
        <v>-2</v>
      </c>
      <c r="S18">
        <f t="shared" si="1"/>
        <v>-19</v>
      </c>
    </row>
    <row r="19" spans="1:19" x14ac:dyDescent="0.3">
      <c r="A19" t="s">
        <v>50</v>
      </c>
      <c r="B19" t="s">
        <v>106</v>
      </c>
      <c r="C19">
        <v>420792</v>
      </c>
      <c r="D19">
        <v>22915</v>
      </c>
      <c r="E19" t="s">
        <v>28</v>
      </c>
      <c r="I19" t="s">
        <v>113</v>
      </c>
      <c r="L19" t="s">
        <v>23</v>
      </c>
      <c r="M19" t="s">
        <v>24</v>
      </c>
      <c r="Q19">
        <f t="shared" si="0"/>
        <v>8</v>
      </c>
      <c r="R19" cm="1">
        <f t="array" ref="R19">CalculateEventMomentumScore(E19, L19, M19, N19, O19, J19)</f>
        <v>0</v>
      </c>
      <c r="S19">
        <f t="shared" si="1"/>
        <v>-2</v>
      </c>
    </row>
    <row r="20" spans="1:19" x14ac:dyDescent="0.3">
      <c r="A20" t="s">
        <v>51</v>
      </c>
      <c r="B20" t="s">
        <v>106</v>
      </c>
      <c r="C20">
        <v>429600</v>
      </c>
      <c r="D20">
        <v>24817</v>
      </c>
      <c r="E20" t="s">
        <v>28</v>
      </c>
      <c r="F20" t="s">
        <v>108</v>
      </c>
      <c r="J20" t="s">
        <v>25</v>
      </c>
      <c r="L20" t="s">
        <v>27</v>
      </c>
      <c r="M20" t="s">
        <v>29</v>
      </c>
      <c r="Q20">
        <f t="shared" si="0"/>
        <v>8</v>
      </c>
      <c r="R20" cm="1">
        <f t="array" ref="R20">CalculateEventMomentumScore(E20, L20, M20, N20, O20, J20)</f>
        <v>3</v>
      </c>
      <c r="S20">
        <f t="shared" si="1"/>
        <v>3</v>
      </c>
    </row>
    <row r="21" spans="1:19" x14ac:dyDescent="0.3">
      <c r="A21" t="s">
        <v>52</v>
      </c>
      <c r="B21" t="s">
        <v>106</v>
      </c>
      <c r="C21">
        <v>448019</v>
      </c>
      <c r="D21">
        <v>40767</v>
      </c>
      <c r="E21" t="s">
        <v>21</v>
      </c>
      <c r="F21" t="s">
        <v>108</v>
      </c>
      <c r="G21" t="s">
        <v>109</v>
      </c>
      <c r="H21" t="s">
        <v>110</v>
      </c>
      <c r="J21" t="s">
        <v>22</v>
      </c>
      <c r="L21" t="s">
        <v>27</v>
      </c>
      <c r="M21" t="s">
        <v>120</v>
      </c>
      <c r="Q21">
        <f t="shared" si="0"/>
        <v>8</v>
      </c>
      <c r="R21" cm="1">
        <f t="array" ref="R21">CalculateEventMomentumScore(E21, L21, M21, N21, O21, J21)</f>
        <v>6</v>
      </c>
      <c r="S21">
        <f t="shared" si="1"/>
        <v>9</v>
      </c>
    </row>
    <row r="22" spans="1:19" x14ac:dyDescent="0.3">
      <c r="A22" t="s">
        <v>53</v>
      </c>
      <c r="B22" t="s">
        <v>106</v>
      </c>
      <c r="C22">
        <v>514685</v>
      </c>
      <c r="D22">
        <v>21414</v>
      </c>
      <c r="E22" t="s">
        <v>21</v>
      </c>
      <c r="K22" t="s">
        <v>117</v>
      </c>
      <c r="L22" t="s">
        <v>27</v>
      </c>
      <c r="M22" t="s">
        <v>122</v>
      </c>
      <c r="N22" t="s">
        <v>31</v>
      </c>
      <c r="Q22">
        <f t="shared" si="0"/>
        <v>10</v>
      </c>
      <c r="R22" cm="1">
        <f t="array" ref="R22">CalculateEventMomentumScore(E22, L22, M22, N22, O22, J22)</f>
        <v>24</v>
      </c>
      <c r="S22">
        <f t="shared" si="1"/>
        <v>30</v>
      </c>
    </row>
    <row r="23" spans="1:19" x14ac:dyDescent="0.3">
      <c r="A23" t="s">
        <v>54</v>
      </c>
      <c r="B23" t="s">
        <v>106</v>
      </c>
      <c r="C23">
        <v>557728</v>
      </c>
      <c r="D23">
        <v>17543</v>
      </c>
      <c r="E23" t="s">
        <v>21</v>
      </c>
      <c r="K23" t="s">
        <v>118</v>
      </c>
      <c r="L23" t="s">
        <v>23</v>
      </c>
      <c r="M23" t="s">
        <v>119</v>
      </c>
      <c r="Q23">
        <f t="shared" si="0"/>
        <v>10</v>
      </c>
      <c r="R23" cm="1">
        <f t="array" ref="R23">CalculateEventMomentumScore(E23, L23, M23, N23, O23, J23)</f>
        <v>0</v>
      </c>
      <c r="S23">
        <f t="shared" si="1"/>
        <v>24</v>
      </c>
    </row>
    <row r="24" spans="1:19" x14ac:dyDescent="0.3">
      <c r="A24" t="s">
        <v>55</v>
      </c>
      <c r="B24" t="s">
        <v>106</v>
      </c>
      <c r="C24">
        <v>585590</v>
      </c>
      <c r="D24">
        <v>20947</v>
      </c>
      <c r="E24" t="s">
        <v>28</v>
      </c>
      <c r="I24" t="s">
        <v>113</v>
      </c>
      <c r="L24" t="s">
        <v>27</v>
      </c>
      <c r="M24" t="s">
        <v>119</v>
      </c>
      <c r="Q24">
        <f t="shared" si="0"/>
        <v>11</v>
      </c>
      <c r="R24" cm="1">
        <f t="array" ref="R24">CalculateEventMomentumScore(E24, L24, M24, N24, O24, J24)</f>
        <v>0</v>
      </c>
      <c r="S24">
        <f t="shared" si="1"/>
        <v>0</v>
      </c>
    </row>
    <row r="25" spans="1:19" x14ac:dyDescent="0.3">
      <c r="A25" t="s">
        <v>56</v>
      </c>
      <c r="B25" t="s">
        <v>106</v>
      </c>
      <c r="C25">
        <v>601906</v>
      </c>
      <c r="D25">
        <v>17877</v>
      </c>
      <c r="E25" t="s">
        <v>21</v>
      </c>
      <c r="I25" t="s">
        <v>111</v>
      </c>
      <c r="L25" t="s">
        <v>27</v>
      </c>
      <c r="M25" t="s">
        <v>121</v>
      </c>
      <c r="Q25">
        <f t="shared" si="0"/>
        <v>11</v>
      </c>
      <c r="R25" cm="1">
        <f t="array" ref="R25">CalculateEventMomentumScore(E25, L25, M25, N25, O25, J25)</f>
        <v>17</v>
      </c>
      <c r="S25">
        <f t="shared" si="1"/>
        <v>17</v>
      </c>
    </row>
    <row r="26" spans="1:19" x14ac:dyDescent="0.3">
      <c r="A26" t="s">
        <v>57</v>
      </c>
      <c r="B26" t="s">
        <v>106</v>
      </c>
      <c r="C26">
        <v>613250</v>
      </c>
      <c r="D26">
        <v>27620</v>
      </c>
      <c r="E26" t="s">
        <v>28</v>
      </c>
      <c r="F26" t="s">
        <v>108</v>
      </c>
      <c r="J26" t="s">
        <v>25</v>
      </c>
      <c r="L26" t="s">
        <v>27</v>
      </c>
      <c r="M26" t="s">
        <v>24</v>
      </c>
      <c r="Q26">
        <f t="shared" si="0"/>
        <v>11</v>
      </c>
      <c r="R26" cm="1">
        <f t="array" ref="R26">CalculateEventMomentumScore(E26, L26, M26, N26, O26, J26)</f>
        <v>3</v>
      </c>
      <c r="S26">
        <f t="shared" si="1"/>
        <v>20</v>
      </c>
    </row>
    <row r="27" spans="1:19" x14ac:dyDescent="0.3">
      <c r="A27" t="s">
        <v>58</v>
      </c>
      <c r="B27" t="s">
        <v>106</v>
      </c>
      <c r="C27">
        <v>644281</v>
      </c>
      <c r="D27">
        <v>19746</v>
      </c>
      <c r="E27" t="s">
        <v>28</v>
      </c>
      <c r="I27" t="s">
        <v>111</v>
      </c>
      <c r="L27" t="s">
        <v>27</v>
      </c>
      <c r="M27" t="s">
        <v>24</v>
      </c>
      <c r="Q27">
        <f t="shared" si="0"/>
        <v>12</v>
      </c>
      <c r="R27" cm="1">
        <f t="array" ref="R27">CalculateEventMomentumScore(E27, L27, M27, N27, O27, J27)</f>
        <v>0</v>
      </c>
      <c r="S27">
        <f t="shared" si="1"/>
        <v>3</v>
      </c>
    </row>
    <row r="28" spans="1:19" x14ac:dyDescent="0.3">
      <c r="A28" t="s">
        <v>59</v>
      </c>
      <c r="B28" t="s">
        <v>106</v>
      </c>
      <c r="C28">
        <v>647456</v>
      </c>
      <c r="D28">
        <v>27281</v>
      </c>
      <c r="E28" t="s">
        <v>30</v>
      </c>
      <c r="F28" t="s">
        <v>109</v>
      </c>
      <c r="L28" t="s">
        <v>27</v>
      </c>
      <c r="M28" t="s">
        <v>24</v>
      </c>
      <c r="P28" t="s">
        <v>129</v>
      </c>
      <c r="Q28">
        <f t="shared" si="0"/>
        <v>12</v>
      </c>
      <c r="R28" cm="1">
        <f t="array" ref="R28">CalculateEventMomentumScore(E28, L28, M28, N28, O28, J28)</f>
        <v>0</v>
      </c>
      <c r="S28">
        <f t="shared" si="1"/>
        <v>0</v>
      </c>
    </row>
    <row r="29" spans="1:19" x14ac:dyDescent="0.3">
      <c r="A29" t="s">
        <v>60</v>
      </c>
      <c r="B29" t="s">
        <v>106</v>
      </c>
      <c r="C29">
        <v>661237</v>
      </c>
      <c r="D29">
        <v>25613</v>
      </c>
      <c r="E29" t="s">
        <v>107</v>
      </c>
      <c r="F29" t="s">
        <v>108</v>
      </c>
      <c r="G29" t="s">
        <v>109</v>
      </c>
      <c r="L29" t="s">
        <v>27</v>
      </c>
      <c r="M29" t="s">
        <v>24</v>
      </c>
      <c r="P29" t="s">
        <v>124</v>
      </c>
      <c r="Q29">
        <f t="shared" si="0"/>
        <v>12</v>
      </c>
      <c r="R29" cm="1">
        <f t="array" ref="R29">CalculateEventMomentumScore(E29, L29, M29, N29, O29, J29)</f>
        <v>1</v>
      </c>
      <c r="S29">
        <f t="shared" si="1"/>
        <v>1</v>
      </c>
    </row>
    <row r="30" spans="1:19" x14ac:dyDescent="0.3">
      <c r="A30" t="s">
        <v>61</v>
      </c>
      <c r="B30" t="s">
        <v>106</v>
      </c>
      <c r="C30">
        <v>692963</v>
      </c>
      <c r="D30">
        <v>19679</v>
      </c>
      <c r="E30" t="s">
        <v>28</v>
      </c>
      <c r="I30" t="s">
        <v>111</v>
      </c>
      <c r="L30" t="s">
        <v>23</v>
      </c>
      <c r="M30" t="s">
        <v>24</v>
      </c>
      <c r="Q30">
        <f t="shared" si="0"/>
        <v>13</v>
      </c>
      <c r="R30" cm="1">
        <f t="array" ref="R30">CalculateEventMomentumScore(E30, L30, M30, N30, O30, J30)</f>
        <v>0</v>
      </c>
      <c r="S30">
        <f t="shared" si="1"/>
        <v>1</v>
      </c>
    </row>
    <row r="31" spans="1:19" x14ac:dyDescent="0.3">
      <c r="A31" t="s">
        <v>62</v>
      </c>
      <c r="B31" t="s">
        <v>106</v>
      </c>
      <c r="C31">
        <v>699875</v>
      </c>
      <c r="D31">
        <v>17672</v>
      </c>
      <c r="E31" t="s">
        <v>30</v>
      </c>
      <c r="F31" t="s">
        <v>108</v>
      </c>
      <c r="L31" t="s">
        <v>23</v>
      </c>
      <c r="M31" t="s">
        <v>29</v>
      </c>
      <c r="P31" t="s">
        <v>125</v>
      </c>
      <c r="Q31">
        <f t="shared" si="0"/>
        <v>13</v>
      </c>
      <c r="R31" cm="1">
        <f t="array" ref="R31">CalculateEventMomentumScore(E31, L31, M31, N31, O31, J31)</f>
        <v>0</v>
      </c>
      <c r="S31">
        <f t="shared" si="1"/>
        <v>0</v>
      </c>
    </row>
    <row r="32" spans="1:19" x14ac:dyDescent="0.3">
      <c r="A32" t="s">
        <v>46</v>
      </c>
      <c r="B32" t="s">
        <v>106</v>
      </c>
      <c r="C32">
        <v>723828</v>
      </c>
      <c r="D32">
        <v>12605</v>
      </c>
      <c r="E32" t="s">
        <v>21</v>
      </c>
      <c r="I32" t="s">
        <v>111</v>
      </c>
      <c r="L32" t="s">
        <v>27</v>
      </c>
      <c r="M32" t="s">
        <v>29</v>
      </c>
      <c r="Q32">
        <f t="shared" si="0"/>
        <v>13</v>
      </c>
      <c r="R32" cm="1">
        <f t="array" ref="R32">CalculateEventMomentumScore(E32, L32, M32, N32, O32, J32)</f>
        <v>0</v>
      </c>
      <c r="S32">
        <f t="shared" si="1"/>
        <v>0</v>
      </c>
    </row>
    <row r="33" spans="1:19" x14ac:dyDescent="0.3">
      <c r="A33" t="s">
        <v>63</v>
      </c>
      <c r="B33" t="s">
        <v>106</v>
      </c>
      <c r="C33">
        <v>729433</v>
      </c>
      <c r="D33">
        <v>28421</v>
      </c>
      <c r="E33" t="s">
        <v>21</v>
      </c>
      <c r="F33" t="s">
        <v>108</v>
      </c>
      <c r="G33" t="s">
        <v>109</v>
      </c>
      <c r="J33" t="s">
        <v>22</v>
      </c>
      <c r="L33" t="s">
        <v>27</v>
      </c>
      <c r="M33" t="s">
        <v>120</v>
      </c>
      <c r="Q33">
        <f t="shared" si="0"/>
        <v>13</v>
      </c>
      <c r="R33" cm="1">
        <f t="array" ref="R33">CalculateEventMomentumScore(E33, L33, M33, N33, O33, J33)</f>
        <v>6</v>
      </c>
      <c r="S33">
        <f t="shared" si="1"/>
        <v>6</v>
      </c>
    </row>
    <row r="34" spans="1:19" x14ac:dyDescent="0.3">
      <c r="A34" t="s">
        <v>64</v>
      </c>
      <c r="B34" t="s">
        <v>106</v>
      </c>
      <c r="C34">
        <v>784088</v>
      </c>
      <c r="D34">
        <v>20013</v>
      </c>
      <c r="E34" t="s">
        <v>21</v>
      </c>
      <c r="K34" t="s">
        <v>118</v>
      </c>
      <c r="L34" t="s">
        <v>27</v>
      </c>
      <c r="M34" t="s">
        <v>120</v>
      </c>
      <c r="Q34">
        <f t="shared" si="0"/>
        <v>14</v>
      </c>
      <c r="R34" cm="1">
        <f t="array" ref="R34">CalculateEventMomentumScore(E34, L34, M34, N34, O34, J34)</f>
        <v>6</v>
      </c>
      <c r="S34">
        <f t="shared" si="1"/>
        <v>12</v>
      </c>
    </row>
    <row r="35" spans="1:19" x14ac:dyDescent="0.3">
      <c r="A35" t="s">
        <v>36</v>
      </c>
      <c r="B35" t="s">
        <v>106</v>
      </c>
      <c r="C35">
        <v>817459</v>
      </c>
      <c r="D35">
        <v>38493</v>
      </c>
      <c r="E35" t="s">
        <v>107</v>
      </c>
      <c r="F35" t="s">
        <v>108</v>
      </c>
      <c r="G35" t="s">
        <v>109</v>
      </c>
      <c r="H35" t="s">
        <v>110</v>
      </c>
      <c r="L35" t="s">
        <v>23</v>
      </c>
      <c r="M35" t="s">
        <v>120</v>
      </c>
      <c r="P35" t="s">
        <v>125</v>
      </c>
      <c r="Q35">
        <f t="shared" si="0"/>
        <v>15</v>
      </c>
      <c r="R35" cm="1">
        <f t="array" ref="R35">CalculateEventMomentumScore(E35, L35, M35, N35, O35, J35)</f>
        <v>-6</v>
      </c>
      <c r="S35">
        <f t="shared" si="1"/>
        <v>0</v>
      </c>
    </row>
    <row r="36" spans="1:19" x14ac:dyDescent="0.3">
      <c r="A36" t="s">
        <v>65</v>
      </c>
      <c r="B36" t="s">
        <v>106</v>
      </c>
      <c r="C36">
        <v>820057</v>
      </c>
      <c r="D36">
        <v>14674</v>
      </c>
      <c r="E36" t="s">
        <v>21</v>
      </c>
      <c r="K36" t="s">
        <v>117</v>
      </c>
      <c r="L36" t="s">
        <v>23</v>
      </c>
      <c r="M36" t="s">
        <v>24</v>
      </c>
      <c r="Q36">
        <f t="shared" si="0"/>
        <v>15</v>
      </c>
      <c r="R36" cm="1">
        <f t="array" ref="R36">CalculateEventMomentumScore(E36, L36, M36, N36, O36, J36)</f>
        <v>0</v>
      </c>
      <c r="S36">
        <f t="shared" si="1"/>
        <v>-6</v>
      </c>
    </row>
    <row r="37" spans="1:19" x14ac:dyDescent="0.3">
      <c r="A37" t="s">
        <v>66</v>
      </c>
      <c r="B37" t="s">
        <v>106</v>
      </c>
      <c r="C37">
        <v>872209</v>
      </c>
      <c r="D37">
        <v>25818</v>
      </c>
      <c r="E37" t="s">
        <v>28</v>
      </c>
      <c r="K37" t="s">
        <v>117</v>
      </c>
      <c r="L37" t="s">
        <v>23</v>
      </c>
      <c r="M37" t="s">
        <v>122</v>
      </c>
      <c r="N37" t="s">
        <v>26</v>
      </c>
      <c r="Q37">
        <f t="shared" si="0"/>
        <v>16</v>
      </c>
      <c r="R37" cm="1">
        <f t="array" ref="R37">CalculateEventMomentumScore(E37, L37, M37, N37, O37, J37)</f>
        <v>-38</v>
      </c>
      <c r="S37">
        <f t="shared" si="1"/>
        <v>-38</v>
      </c>
    </row>
    <row r="38" spans="1:19" x14ac:dyDescent="0.3">
      <c r="A38" t="s">
        <v>41</v>
      </c>
      <c r="B38" t="s">
        <v>106</v>
      </c>
      <c r="C38">
        <v>929366</v>
      </c>
      <c r="D38">
        <v>19545</v>
      </c>
      <c r="E38" t="s">
        <v>21</v>
      </c>
      <c r="K38" t="s">
        <v>116</v>
      </c>
      <c r="L38" t="s">
        <v>27</v>
      </c>
      <c r="M38" t="s">
        <v>29</v>
      </c>
      <c r="Q38">
        <f t="shared" si="0"/>
        <v>16</v>
      </c>
      <c r="R38" cm="1">
        <f t="array" ref="R38">CalculateEventMomentumScore(E38, L38, M38, N38, O38, J38)</f>
        <v>0</v>
      </c>
      <c r="S38">
        <f t="shared" si="1"/>
        <v>-38</v>
      </c>
    </row>
    <row r="39" spans="1:19" x14ac:dyDescent="0.3">
      <c r="A39" t="s">
        <v>67</v>
      </c>
      <c r="B39" t="s">
        <v>106</v>
      </c>
      <c r="C39">
        <v>942646</v>
      </c>
      <c r="D39">
        <v>21481</v>
      </c>
      <c r="E39" t="s">
        <v>21</v>
      </c>
      <c r="F39" t="s">
        <v>108</v>
      </c>
      <c r="J39" t="s">
        <v>25</v>
      </c>
      <c r="L39" t="s">
        <v>23</v>
      </c>
      <c r="M39" t="s">
        <v>24</v>
      </c>
      <c r="Q39">
        <f t="shared" si="0"/>
        <v>17</v>
      </c>
      <c r="R39" cm="1">
        <f t="array" ref="R39">CalculateEventMomentumScore(E39, L39, M39, N39, O39, J39)</f>
        <v>-3</v>
      </c>
      <c r="S39">
        <f t="shared" si="1"/>
        <v>-3</v>
      </c>
    </row>
    <row r="40" spans="1:19" x14ac:dyDescent="0.3">
      <c r="A40" t="s">
        <v>68</v>
      </c>
      <c r="B40" t="s">
        <v>106</v>
      </c>
      <c r="C40">
        <v>966437</v>
      </c>
      <c r="D40">
        <v>16943</v>
      </c>
      <c r="E40" t="s">
        <v>28</v>
      </c>
      <c r="I40" t="s">
        <v>111</v>
      </c>
      <c r="L40" t="s">
        <v>27</v>
      </c>
      <c r="M40" t="s">
        <v>119</v>
      </c>
      <c r="Q40">
        <f t="shared" si="0"/>
        <v>17</v>
      </c>
      <c r="R40" cm="1">
        <f t="array" ref="R40">CalculateEventMomentumScore(E40, L40, M40, N40, O40, J40)</f>
        <v>0</v>
      </c>
      <c r="S40">
        <f t="shared" si="1"/>
        <v>-3</v>
      </c>
    </row>
    <row r="41" spans="1:19" x14ac:dyDescent="0.3">
      <c r="A41" t="s">
        <v>35</v>
      </c>
      <c r="B41" t="s">
        <v>106</v>
      </c>
      <c r="C41">
        <v>981285</v>
      </c>
      <c r="D41">
        <v>48174</v>
      </c>
      <c r="E41" t="s">
        <v>21</v>
      </c>
      <c r="I41" t="s">
        <v>111</v>
      </c>
      <c r="L41" t="s">
        <v>23</v>
      </c>
      <c r="M41" t="s">
        <v>24</v>
      </c>
      <c r="Q41">
        <f t="shared" si="0"/>
        <v>17</v>
      </c>
      <c r="R41" cm="1">
        <f t="array" ref="R41">CalculateEventMomentumScore(E41, L41, M41, N41, O41, J41)</f>
        <v>0</v>
      </c>
      <c r="S41">
        <f t="shared" si="1"/>
        <v>0</v>
      </c>
    </row>
    <row r="42" spans="1:19" x14ac:dyDescent="0.3">
      <c r="A42" t="s">
        <v>69</v>
      </c>
      <c r="B42" t="s">
        <v>106</v>
      </c>
      <c r="C42">
        <v>1017459</v>
      </c>
      <c r="D42">
        <v>19007</v>
      </c>
      <c r="E42" t="s">
        <v>107</v>
      </c>
      <c r="F42" t="s">
        <v>109</v>
      </c>
      <c r="L42" t="s">
        <v>27</v>
      </c>
      <c r="M42" t="s">
        <v>29</v>
      </c>
      <c r="P42" t="s">
        <v>126</v>
      </c>
      <c r="Q42">
        <f t="shared" si="0"/>
        <v>18</v>
      </c>
      <c r="R42" cm="1">
        <f t="array" ref="R42">CalculateEventMomentumScore(E42, L42, M42, N42, O42, J42)</f>
        <v>1</v>
      </c>
      <c r="S42">
        <f t="shared" si="1"/>
        <v>1</v>
      </c>
    </row>
    <row r="43" spans="1:19" x14ac:dyDescent="0.3">
      <c r="A43" t="s">
        <v>70</v>
      </c>
      <c r="B43" t="s">
        <v>106</v>
      </c>
      <c r="C43">
        <v>1037107</v>
      </c>
      <c r="D43">
        <v>14000</v>
      </c>
      <c r="E43" t="s">
        <v>21</v>
      </c>
      <c r="I43" t="s">
        <v>113</v>
      </c>
      <c r="L43" t="s">
        <v>27</v>
      </c>
      <c r="M43" t="s">
        <v>29</v>
      </c>
      <c r="Q43">
        <f t="shared" si="0"/>
        <v>18</v>
      </c>
      <c r="R43" cm="1">
        <f t="array" ref="R43">CalculateEventMomentumScore(E43, L43, M43, N43, O43, J43)</f>
        <v>0</v>
      </c>
      <c r="S43">
        <f t="shared" si="1"/>
        <v>1</v>
      </c>
    </row>
    <row r="44" spans="1:19" x14ac:dyDescent="0.3">
      <c r="A44" t="s">
        <v>71</v>
      </c>
      <c r="B44" t="s">
        <v>106</v>
      </c>
      <c r="C44">
        <v>1038575</v>
      </c>
      <c r="D44">
        <v>21414</v>
      </c>
      <c r="E44" t="s">
        <v>21</v>
      </c>
      <c r="F44" t="s">
        <v>108</v>
      </c>
      <c r="G44" t="s">
        <v>109</v>
      </c>
      <c r="J44" t="s">
        <v>25</v>
      </c>
      <c r="L44" t="s">
        <v>23</v>
      </c>
      <c r="M44" t="s">
        <v>24</v>
      </c>
      <c r="Q44">
        <f t="shared" si="0"/>
        <v>18</v>
      </c>
      <c r="R44" cm="1">
        <f t="array" ref="R44">CalculateEventMomentumScore(E44, L44, M44, N44, O44, J44)</f>
        <v>-3</v>
      </c>
      <c r="S44">
        <f t="shared" si="1"/>
        <v>-3</v>
      </c>
    </row>
    <row r="45" spans="1:19" x14ac:dyDescent="0.3">
      <c r="A45" t="s">
        <v>72</v>
      </c>
      <c r="B45" t="s">
        <v>106</v>
      </c>
      <c r="C45">
        <v>1075712</v>
      </c>
      <c r="D45">
        <v>17143</v>
      </c>
      <c r="E45" t="s">
        <v>28</v>
      </c>
      <c r="I45" t="s">
        <v>111</v>
      </c>
      <c r="L45" t="s">
        <v>27</v>
      </c>
      <c r="M45" t="s">
        <v>29</v>
      </c>
      <c r="Q45">
        <f t="shared" si="0"/>
        <v>19</v>
      </c>
      <c r="R45" cm="1">
        <f t="array" ref="R45">CalculateEventMomentumScore(E45, L45, M45, N45, O45, J45)</f>
        <v>0</v>
      </c>
      <c r="S45">
        <f t="shared" si="1"/>
        <v>-3</v>
      </c>
    </row>
    <row r="46" spans="1:19" x14ac:dyDescent="0.3">
      <c r="A46" t="s">
        <v>73</v>
      </c>
      <c r="B46" t="s">
        <v>106</v>
      </c>
      <c r="C46">
        <v>1088192</v>
      </c>
      <c r="D46">
        <v>21414</v>
      </c>
      <c r="E46" t="s">
        <v>21</v>
      </c>
      <c r="F46" t="s">
        <v>109</v>
      </c>
      <c r="J46" t="s">
        <v>22</v>
      </c>
      <c r="L46" t="s">
        <v>23</v>
      </c>
      <c r="M46" t="s">
        <v>24</v>
      </c>
      <c r="Q46">
        <f t="shared" si="0"/>
        <v>19</v>
      </c>
      <c r="R46" cm="1">
        <f t="array" ref="R46">CalculateEventMomentumScore(E46, L46, M46, N46, O46, J46)</f>
        <v>-2</v>
      </c>
      <c r="S46">
        <f t="shared" si="1"/>
        <v>-2</v>
      </c>
    </row>
    <row r="47" spans="1:19" x14ac:dyDescent="0.3">
      <c r="A47" t="s">
        <v>68</v>
      </c>
      <c r="B47" t="s">
        <v>106</v>
      </c>
      <c r="C47">
        <v>1116653</v>
      </c>
      <c r="D47">
        <v>12271</v>
      </c>
      <c r="E47" t="s">
        <v>28</v>
      </c>
      <c r="I47" t="s">
        <v>111</v>
      </c>
      <c r="L47" t="s">
        <v>27</v>
      </c>
      <c r="M47" t="s">
        <v>119</v>
      </c>
      <c r="Q47">
        <f t="shared" si="0"/>
        <v>20</v>
      </c>
      <c r="R47" cm="1">
        <f t="array" ref="R47">CalculateEventMomentumScore(E47, L47, M47, N47, O47, J47)</f>
        <v>0</v>
      </c>
      <c r="S47">
        <f t="shared" si="1"/>
        <v>-2</v>
      </c>
    </row>
    <row r="48" spans="1:19" x14ac:dyDescent="0.3">
      <c r="A48" t="s">
        <v>74</v>
      </c>
      <c r="B48" t="s">
        <v>106</v>
      </c>
      <c r="C48">
        <v>1130868</v>
      </c>
      <c r="D48">
        <v>14807</v>
      </c>
      <c r="E48" t="s">
        <v>21</v>
      </c>
      <c r="I48" t="s">
        <v>111</v>
      </c>
      <c r="L48" t="s">
        <v>23</v>
      </c>
      <c r="M48" t="s">
        <v>119</v>
      </c>
      <c r="Q48">
        <f t="shared" si="0"/>
        <v>20</v>
      </c>
      <c r="R48" cm="1">
        <f t="array" ref="R48">CalculateEventMomentumScore(E48, L48, M48, N48, O48, J48)</f>
        <v>0</v>
      </c>
      <c r="S48">
        <f t="shared" si="1"/>
        <v>0</v>
      </c>
    </row>
    <row r="49" spans="1:19" x14ac:dyDescent="0.3">
      <c r="A49" t="s">
        <v>61</v>
      </c>
      <c r="B49" t="s">
        <v>106</v>
      </c>
      <c r="C49">
        <v>1144915</v>
      </c>
      <c r="D49">
        <v>20813</v>
      </c>
      <c r="E49" t="s">
        <v>28</v>
      </c>
      <c r="I49" t="s">
        <v>111</v>
      </c>
      <c r="L49" t="s">
        <v>23</v>
      </c>
      <c r="M49" t="s">
        <v>24</v>
      </c>
      <c r="Q49">
        <f t="shared" si="0"/>
        <v>20</v>
      </c>
      <c r="R49" cm="1">
        <f t="array" ref="R49">CalculateEventMomentumScore(E49, L49, M49, N49, O49, J49)</f>
        <v>0</v>
      </c>
      <c r="S49">
        <f t="shared" si="1"/>
        <v>0</v>
      </c>
    </row>
    <row r="50" spans="1:19" x14ac:dyDescent="0.3">
      <c r="A50" t="s">
        <v>75</v>
      </c>
      <c r="B50" t="s">
        <v>106</v>
      </c>
      <c r="C50">
        <v>1152895</v>
      </c>
      <c r="D50">
        <v>34489</v>
      </c>
      <c r="E50" t="s">
        <v>107</v>
      </c>
      <c r="F50" t="s">
        <v>109</v>
      </c>
      <c r="G50" t="s">
        <v>110</v>
      </c>
      <c r="L50" t="s">
        <v>23</v>
      </c>
      <c r="M50" t="s">
        <v>121</v>
      </c>
      <c r="P50" t="s">
        <v>129</v>
      </c>
      <c r="Q50">
        <f t="shared" si="0"/>
        <v>20</v>
      </c>
      <c r="R50" cm="1">
        <f t="array" ref="R50">CalculateEventMomentumScore(E50, L50, M50, N50, O50, J50)</f>
        <v>-17</v>
      </c>
      <c r="S50">
        <f t="shared" si="1"/>
        <v>-17</v>
      </c>
    </row>
    <row r="51" spans="1:19" x14ac:dyDescent="0.3">
      <c r="A51" t="s">
        <v>76</v>
      </c>
      <c r="B51" t="s">
        <v>106</v>
      </c>
      <c r="C51">
        <v>1195699</v>
      </c>
      <c r="D51">
        <v>28688</v>
      </c>
      <c r="E51" t="s">
        <v>21</v>
      </c>
      <c r="I51" t="s">
        <v>114</v>
      </c>
      <c r="L51" t="s">
        <v>23</v>
      </c>
      <c r="M51" t="s">
        <v>24</v>
      </c>
      <c r="Q51">
        <f t="shared" si="0"/>
        <v>21</v>
      </c>
      <c r="R51" cm="1">
        <f t="array" ref="R51">CalculateEventMomentumScore(E51, L51, M51, N51, O51, J51)</f>
        <v>0</v>
      </c>
      <c r="S51">
        <f t="shared" si="1"/>
        <v>-17</v>
      </c>
    </row>
    <row r="52" spans="1:19" x14ac:dyDescent="0.3">
      <c r="A52" t="s">
        <v>77</v>
      </c>
      <c r="B52" t="s">
        <v>106</v>
      </c>
      <c r="C52">
        <v>1208383</v>
      </c>
      <c r="D52">
        <v>29817</v>
      </c>
      <c r="E52" t="s">
        <v>107</v>
      </c>
      <c r="F52" t="s">
        <v>109</v>
      </c>
      <c r="L52" t="s">
        <v>27</v>
      </c>
      <c r="M52" t="s">
        <v>24</v>
      </c>
      <c r="P52" t="s">
        <v>129</v>
      </c>
      <c r="Q52">
        <f t="shared" si="0"/>
        <v>21</v>
      </c>
      <c r="R52" cm="1">
        <f t="array" ref="R52">CalculateEventMomentumScore(E52, L52, M52, N52, O52, J52)</f>
        <v>1</v>
      </c>
      <c r="S52">
        <f t="shared" si="1"/>
        <v>1</v>
      </c>
    </row>
    <row r="53" spans="1:19" x14ac:dyDescent="0.3">
      <c r="A53" t="s">
        <v>50</v>
      </c>
      <c r="B53" t="s">
        <v>106</v>
      </c>
      <c r="C53">
        <v>1240677</v>
      </c>
      <c r="D53">
        <v>24550</v>
      </c>
      <c r="E53" t="s">
        <v>28</v>
      </c>
      <c r="I53" t="s">
        <v>113</v>
      </c>
      <c r="L53" t="s">
        <v>23</v>
      </c>
      <c r="M53" t="s">
        <v>24</v>
      </c>
      <c r="Q53">
        <f t="shared" si="0"/>
        <v>22</v>
      </c>
      <c r="R53" cm="1">
        <f t="array" ref="R53">CalculateEventMomentumScore(E53, L53, M53, N53, O53, J53)</f>
        <v>0</v>
      </c>
      <c r="S53">
        <f t="shared" si="1"/>
        <v>1</v>
      </c>
    </row>
    <row r="54" spans="1:19" x14ac:dyDescent="0.3">
      <c r="A54" t="s">
        <v>78</v>
      </c>
      <c r="B54" t="s">
        <v>106</v>
      </c>
      <c r="C54">
        <v>1260197</v>
      </c>
      <c r="D54">
        <v>14874</v>
      </c>
      <c r="E54" t="s">
        <v>28</v>
      </c>
      <c r="F54" t="s">
        <v>109</v>
      </c>
      <c r="J54" t="s">
        <v>22</v>
      </c>
      <c r="L54" t="s">
        <v>27</v>
      </c>
      <c r="M54" t="s">
        <v>29</v>
      </c>
      <c r="Q54">
        <f t="shared" si="0"/>
        <v>22</v>
      </c>
      <c r="R54" cm="1">
        <f t="array" ref="R54">CalculateEventMomentumScore(E54, L54, M54, N54, O54, J54)</f>
        <v>2</v>
      </c>
      <c r="S54">
        <f t="shared" si="1"/>
        <v>2</v>
      </c>
    </row>
    <row r="55" spans="1:19" x14ac:dyDescent="0.3">
      <c r="A55" t="s">
        <v>46</v>
      </c>
      <c r="B55" t="s">
        <v>106</v>
      </c>
      <c r="C55">
        <v>1288892</v>
      </c>
      <c r="D55">
        <v>18745</v>
      </c>
      <c r="E55" t="s">
        <v>21</v>
      </c>
      <c r="I55" t="s">
        <v>111</v>
      </c>
      <c r="L55" t="s">
        <v>27</v>
      </c>
      <c r="M55" t="s">
        <v>29</v>
      </c>
      <c r="Q55">
        <f t="shared" si="0"/>
        <v>22</v>
      </c>
      <c r="R55" cm="1">
        <f t="array" ref="R55">CalculateEventMomentumScore(E55, L55, M55, N55, O55, J55)</f>
        <v>0</v>
      </c>
      <c r="S55">
        <f t="shared" si="1"/>
        <v>2</v>
      </c>
    </row>
    <row r="56" spans="1:19" x14ac:dyDescent="0.3">
      <c r="A56" t="s">
        <v>47</v>
      </c>
      <c r="B56" t="s">
        <v>106</v>
      </c>
      <c r="C56">
        <v>1300637</v>
      </c>
      <c r="D56">
        <v>32625</v>
      </c>
      <c r="E56" t="s">
        <v>21</v>
      </c>
      <c r="F56" t="s">
        <v>109</v>
      </c>
      <c r="J56" t="s">
        <v>115</v>
      </c>
      <c r="L56" t="s">
        <v>23</v>
      </c>
      <c r="M56" t="s">
        <v>24</v>
      </c>
      <c r="Q56">
        <f t="shared" si="0"/>
        <v>23</v>
      </c>
      <c r="R56" cm="1">
        <f t="array" ref="R56">CalculateEventMomentumScore(E56, L56, M56, N56, O56, J56)</f>
        <v>-1</v>
      </c>
      <c r="S56">
        <f t="shared" si="1"/>
        <v>-1</v>
      </c>
    </row>
    <row r="57" spans="1:19" x14ac:dyDescent="0.3">
      <c r="A57" t="s">
        <v>50</v>
      </c>
      <c r="B57" t="s">
        <v>106</v>
      </c>
      <c r="C57">
        <v>1345549</v>
      </c>
      <c r="D57">
        <v>16743</v>
      </c>
      <c r="E57" t="s">
        <v>28</v>
      </c>
      <c r="I57" t="s">
        <v>113</v>
      </c>
      <c r="L57" t="s">
        <v>23</v>
      </c>
      <c r="M57" t="s">
        <v>24</v>
      </c>
      <c r="Q57">
        <f t="shared" si="0"/>
        <v>23</v>
      </c>
      <c r="R57" cm="1">
        <f t="array" ref="R57">CalculateEventMomentumScore(E57, L57, M57, N57, O57, J57)</f>
        <v>0</v>
      </c>
      <c r="S57">
        <f t="shared" si="1"/>
        <v>-1</v>
      </c>
    </row>
    <row r="58" spans="1:19" x14ac:dyDescent="0.3">
      <c r="A58" t="s">
        <v>79</v>
      </c>
      <c r="B58" t="s">
        <v>106</v>
      </c>
      <c r="C58">
        <v>1352789</v>
      </c>
      <c r="D58">
        <v>53913</v>
      </c>
      <c r="E58" t="s">
        <v>28</v>
      </c>
      <c r="F58" t="s">
        <v>108</v>
      </c>
      <c r="G58" t="s">
        <v>110</v>
      </c>
      <c r="J58" t="s">
        <v>25</v>
      </c>
      <c r="L58" t="s">
        <v>23</v>
      </c>
      <c r="M58" t="s">
        <v>122</v>
      </c>
      <c r="N58" t="s">
        <v>123</v>
      </c>
      <c r="Q58">
        <f t="shared" si="0"/>
        <v>24</v>
      </c>
      <c r="R58" cm="1">
        <f t="array" ref="R58">CalculateEventMomentumScore(E58, L58, M58, N58, O58, J58)</f>
        <v>-28</v>
      </c>
      <c r="S58">
        <f t="shared" si="1"/>
        <v>-28</v>
      </c>
    </row>
    <row r="59" spans="1:19" x14ac:dyDescent="0.3">
      <c r="A59" t="s">
        <v>80</v>
      </c>
      <c r="B59" t="s">
        <v>106</v>
      </c>
      <c r="C59">
        <v>1407377</v>
      </c>
      <c r="D59">
        <v>22949</v>
      </c>
      <c r="E59" t="s">
        <v>21</v>
      </c>
      <c r="I59" t="s">
        <v>114</v>
      </c>
      <c r="L59" t="s">
        <v>23</v>
      </c>
      <c r="M59" t="s">
        <v>119</v>
      </c>
      <c r="Q59">
        <f t="shared" si="0"/>
        <v>24</v>
      </c>
      <c r="R59" cm="1">
        <f t="array" ref="R59">CalculateEventMomentumScore(E59, L59, M59, N59, O59, J59)</f>
        <v>0</v>
      </c>
      <c r="S59">
        <f t="shared" si="1"/>
        <v>-28</v>
      </c>
    </row>
    <row r="60" spans="1:19" x14ac:dyDescent="0.3">
      <c r="A60" t="s">
        <v>61</v>
      </c>
      <c r="B60" t="s">
        <v>106</v>
      </c>
      <c r="C60">
        <v>1436239</v>
      </c>
      <c r="D60">
        <v>20146</v>
      </c>
      <c r="E60" t="s">
        <v>28</v>
      </c>
      <c r="I60" t="s">
        <v>111</v>
      </c>
      <c r="L60" t="s">
        <v>23</v>
      </c>
      <c r="M60" t="s">
        <v>24</v>
      </c>
      <c r="Q60">
        <f t="shared" si="0"/>
        <v>25</v>
      </c>
      <c r="R60" cm="1">
        <f t="array" ref="R60">CalculateEventMomentumScore(E60, L60, M60, N60, O60, J60)</f>
        <v>0</v>
      </c>
      <c r="S60">
        <f t="shared" si="1"/>
        <v>0</v>
      </c>
    </row>
    <row r="61" spans="1:19" x14ac:dyDescent="0.3">
      <c r="A61" t="s">
        <v>81</v>
      </c>
      <c r="B61" t="s">
        <v>106</v>
      </c>
      <c r="C61">
        <v>1449386</v>
      </c>
      <c r="D61">
        <v>52912</v>
      </c>
      <c r="E61" t="s">
        <v>28</v>
      </c>
      <c r="F61" t="s">
        <v>109</v>
      </c>
      <c r="J61" t="s">
        <v>22</v>
      </c>
      <c r="L61" t="s">
        <v>27</v>
      </c>
      <c r="M61" t="s">
        <v>24</v>
      </c>
      <c r="Q61">
        <f t="shared" si="0"/>
        <v>25</v>
      </c>
      <c r="R61" cm="1">
        <f t="array" ref="R61">CalculateEventMomentumScore(E61, L61, M61, N61, O61, J61)</f>
        <v>2</v>
      </c>
      <c r="S61">
        <f t="shared" si="1"/>
        <v>2</v>
      </c>
    </row>
    <row r="62" spans="1:19" x14ac:dyDescent="0.3">
      <c r="A62" t="s">
        <v>61</v>
      </c>
      <c r="B62" t="s">
        <v>106</v>
      </c>
      <c r="C62">
        <v>1506643</v>
      </c>
      <c r="D62">
        <v>12405</v>
      </c>
      <c r="E62" t="s">
        <v>28</v>
      </c>
      <c r="I62" t="s">
        <v>111</v>
      </c>
      <c r="L62" t="s">
        <v>23</v>
      </c>
      <c r="M62" t="s">
        <v>24</v>
      </c>
      <c r="Q62">
        <f t="shared" si="0"/>
        <v>26</v>
      </c>
      <c r="R62" cm="1">
        <f t="array" ref="R62">CalculateEventMomentumScore(E62, L62, M62, N62, O62, J62)</f>
        <v>0</v>
      </c>
      <c r="S62">
        <f t="shared" si="1"/>
        <v>2</v>
      </c>
    </row>
    <row r="63" spans="1:19" x14ac:dyDescent="0.3">
      <c r="A63" t="s">
        <v>81</v>
      </c>
      <c r="B63" t="s">
        <v>106</v>
      </c>
      <c r="C63">
        <v>1511982</v>
      </c>
      <c r="D63">
        <v>16843</v>
      </c>
      <c r="E63" t="s">
        <v>28</v>
      </c>
      <c r="F63" t="s">
        <v>109</v>
      </c>
      <c r="J63" t="s">
        <v>22</v>
      </c>
      <c r="L63" t="s">
        <v>27</v>
      </c>
      <c r="M63" t="s">
        <v>24</v>
      </c>
      <c r="Q63">
        <f t="shared" si="0"/>
        <v>26</v>
      </c>
      <c r="R63" cm="1">
        <f t="array" ref="R63">CalculateEventMomentumScore(E63, L63, M63, N63, O63, J63)</f>
        <v>2</v>
      </c>
      <c r="S63">
        <f t="shared" si="1"/>
        <v>2</v>
      </c>
    </row>
    <row r="64" spans="1:19" x14ac:dyDescent="0.3">
      <c r="A64" t="s">
        <v>82</v>
      </c>
      <c r="B64" t="s">
        <v>106</v>
      </c>
      <c r="C64">
        <v>1528570</v>
      </c>
      <c r="D64">
        <v>24746</v>
      </c>
      <c r="E64" t="s">
        <v>30</v>
      </c>
      <c r="F64" t="s">
        <v>109</v>
      </c>
      <c r="G64" t="s">
        <v>110</v>
      </c>
      <c r="L64" t="s">
        <v>27</v>
      </c>
      <c r="M64" t="s">
        <v>121</v>
      </c>
      <c r="P64" t="s">
        <v>130</v>
      </c>
      <c r="Q64">
        <f t="shared" si="0"/>
        <v>26</v>
      </c>
      <c r="R64" cm="1">
        <f t="array" ref="R64">CalculateEventMomentumScore(E64, L64, M64, N64, O64, J64)</f>
        <v>17</v>
      </c>
      <c r="S64">
        <f t="shared" si="1"/>
        <v>19</v>
      </c>
    </row>
    <row r="65" spans="1:19" x14ac:dyDescent="0.3">
      <c r="A65" t="s">
        <v>58</v>
      </c>
      <c r="B65" t="s">
        <v>106</v>
      </c>
      <c r="C65">
        <v>1532469</v>
      </c>
      <c r="D65">
        <v>12805</v>
      </c>
      <c r="E65" t="s">
        <v>28</v>
      </c>
      <c r="I65" t="s">
        <v>111</v>
      </c>
      <c r="L65" t="s">
        <v>27</v>
      </c>
      <c r="M65" t="s">
        <v>24</v>
      </c>
      <c r="Q65">
        <f t="shared" si="0"/>
        <v>27</v>
      </c>
      <c r="R65" cm="1">
        <f t="array" ref="R65">CalculateEventMomentumScore(E65, L65, M65, N65, O65, J65)</f>
        <v>0</v>
      </c>
      <c r="S65">
        <f t="shared" si="1"/>
        <v>17</v>
      </c>
    </row>
    <row r="66" spans="1:19" x14ac:dyDescent="0.3">
      <c r="A66" t="s">
        <v>83</v>
      </c>
      <c r="B66" t="s">
        <v>106</v>
      </c>
      <c r="C66">
        <v>1573610</v>
      </c>
      <c r="D66">
        <v>12271</v>
      </c>
      <c r="E66" t="s">
        <v>21</v>
      </c>
      <c r="K66" t="s">
        <v>117</v>
      </c>
      <c r="L66" t="s">
        <v>27</v>
      </c>
      <c r="M66" t="s">
        <v>123</v>
      </c>
      <c r="Q66">
        <f t="shared" si="0"/>
        <v>27</v>
      </c>
      <c r="R66" cm="1">
        <f t="array" ref="R66">CalculateEventMomentumScore(E66, L66, M66, N66, O66, J66)</f>
        <v>10</v>
      </c>
      <c r="S66">
        <f t="shared" si="1"/>
        <v>10</v>
      </c>
    </row>
    <row r="67" spans="1:19" x14ac:dyDescent="0.3">
      <c r="A67" t="s">
        <v>84</v>
      </c>
      <c r="B67" t="s">
        <v>106</v>
      </c>
      <c r="C67">
        <v>1601204</v>
      </c>
      <c r="D67">
        <v>31000</v>
      </c>
      <c r="E67" t="s">
        <v>28</v>
      </c>
      <c r="I67" t="s">
        <v>114</v>
      </c>
      <c r="L67" t="s">
        <v>27</v>
      </c>
      <c r="M67" t="s">
        <v>29</v>
      </c>
      <c r="Q67">
        <f t="shared" ref="Q67:Q130" si="2">ROUND(C67/60000, 0)+1</f>
        <v>28</v>
      </c>
      <c r="R67" cm="1">
        <f t="array" ref="R67">CalculateEventMomentumScore(E67, L67, M67, N67, O67, J67)</f>
        <v>0</v>
      </c>
      <c r="S67">
        <f t="shared" si="1"/>
        <v>10</v>
      </c>
    </row>
    <row r="68" spans="1:19" x14ac:dyDescent="0.3">
      <c r="A68" t="s">
        <v>70</v>
      </c>
      <c r="B68" t="s">
        <v>106</v>
      </c>
      <c r="C68">
        <v>1633036</v>
      </c>
      <c r="D68">
        <v>18144</v>
      </c>
      <c r="E68" t="s">
        <v>21</v>
      </c>
      <c r="I68" t="s">
        <v>113</v>
      </c>
      <c r="L68" t="s">
        <v>27</v>
      </c>
      <c r="M68" t="s">
        <v>29</v>
      </c>
      <c r="Q68">
        <f t="shared" si="2"/>
        <v>28</v>
      </c>
      <c r="R68" cm="1">
        <f t="array" ref="R68">CalculateEventMomentumScore(E68, L68, M68, N68, O68, J68)</f>
        <v>0</v>
      </c>
      <c r="S68">
        <f t="shared" ref="S68:S131" si="3">R67+R68</f>
        <v>0</v>
      </c>
    </row>
    <row r="69" spans="1:19" x14ac:dyDescent="0.3">
      <c r="A69" t="s">
        <v>39</v>
      </c>
      <c r="B69" t="s">
        <v>106</v>
      </c>
      <c r="C69">
        <v>1637540</v>
      </c>
      <c r="D69">
        <v>20413</v>
      </c>
      <c r="E69" t="s">
        <v>21</v>
      </c>
      <c r="F69" t="s">
        <v>108</v>
      </c>
      <c r="J69" t="s">
        <v>22</v>
      </c>
      <c r="L69" t="s">
        <v>23</v>
      </c>
      <c r="M69" t="s">
        <v>24</v>
      </c>
      <c r="Q69">
        <f t="shared" si="2"/>
        <v>28</v>
      </c>
      <c r="R69" cm="1">
        <f t="array" ref="R69">CalculateEventMomentumScore(E69, L69, M69, N69, O69, J69)</f>
        <v>-2</v>
      </c>
      <c r="S69">
        <f t="shared" si="3"/>
        <v>-2</v>
      </c>
    </row>
    <row r="70" spans="1:19" x14ac:dyDescent="0.3">
      <c r="A70" t="s">
        <v>85</v>
      </c>
      <c r="B70" t="s">
        <v>106</v>
      </c>
      <c r="C70">
        <v>1656459</v>
      </c>
      <c r="D70">
        <v>14941</v>
      </c>
      <c r="E70" t="s">
        <v>28</v>
      </c>
      <c r="F70" t="s">
        <v>108</v>
      </c>
      <c r="I70" t="s">
        <v>112</v>
      </c>
      <c r="J70" t="s">
        <v>25</v>
      </c>
      <c r="L70" t="s">
        <v>27</v>
      </c>
      <c r="M70" t="s">
        <v>29</v>
      </c>
      <c r="Q70">
        <f t="shared" si="2"/>
        <v>29</v>
      </c>
      <c r="R70" cm="1">
        <f t="array" ref="R70">CalculateEventMomentumScore(E70, L70, M70, N70, O70, J70)</f>
        <v>3</v>
      </c>
      <c r="S70">
        <f t="shared" si="3"/>
        <v>1</v>
      </c>
    </row>
    <row r="71" spans="1:19" x14ac:dyDescent="0.3">
      <c r="A71" t="s">
        <v>46</v>
      </c>
      <c r="B71" t="s">
        <v>106</v>
      </c>
      <c r="C71">
        <v>1672308</v>
      </c>
      <c r="D71">
        <v>18878</v>
      </c>
      <c r="E71" t="s">
        <v>21</v>
      </c>
      <c r="I71" t="s">
        <v>111</v>
      </c>
      <c r="L71" t="s">
        <v>27</v>
      </c>
      <c r="M71" t="s">
        <v>29</v>
      </c>
      <c r="Q71">
        <f t="shared" si="2"/>
        <v>29</v>
      </c>
      <c r="R71" cm="1">
        <f t="array" ref="R71">CalculateEventMomentumScore(E71, L71, M71, N71, O71, J71)</f>
        <v>0</v>
      </c>
      <c r="S71">
        <f t="shared" si="3"/>
        <v>3</v>
      </c>
    </row>
    <row r="72" spans="1:19" x14ac:dyDescent="0.3">
      <c r="A72" t="s">
        <v>86</v>
      </c>
      <c r="B72" t="s">
        <v>106</v>
      </c>
      <c r="C72">
        <v>1684187</v>
      </c>
      <c r="D72">
        <v>37830</v>
      </c>
      <c r="E72" t="s">
        <v>21</v>
      </c>
      <c r="F72" t="s">
        <v>109</v>
      </c>
      <c r="J72" t="s">
        <v>22</v>
      </c>
      <c r="L72" t="s">
        <v>23</v>
      </c>
      <c r="M72" t="s">
        <v>29</v>
      </c>
      <c r="Q72">
        <f t="shared" si="2"/>
        <v>29</v>
      </c>
      <c r="R72" cm="1">
        <f t="array" ref="R72">CalculateEventMomentumScore(E72, L72, M72, N72, O72, J72)</f>
        <v>0</v>
      </c>
      <c r="S72">
        <f t="shared" si="3"/>
        <v>0</v>
      </c>
    </row>
    <row r="73" spans="1:19" x14ac:dyDescent="0.3">
      <c r="A73" t="s">
        <v>87</v>
      </c>
      <c r="B73" t="s">
        <v>106</v>
      </c>
      <c r="C73">
        <v>1717554</v>
      </c>
      <c r="D73">
        <v>14073</v>
      </c>
      <c r="E73" t="s">
        <v>21</v>
      </c>
      <c r="I73" t="s">
        <v>113</v>
      </c>
      <c r="L73" t="s">
        <v>27</v>
      </c>
      <c r="M73" t="s">
        <v>119</v>
      </c>
      <c r="Q73">
        <f t="shared" si="2"/>
        <v>30</v>
      </c>
      <c r="R73" cm="1">
        <f t="array" ref="R73">CalculateEventMomentumScore(E73, L73, M73, N73, O73, J73)</f>
        <v>0</v>
      </c>
      <c r="S73">
        <f t="shared" si="3"/>
        <v>0</v>
      </c>
    </row>
    <row r="74" spans="1:19" x14ac:dyDescent="0.3">
      <c r="A74" t="s">
        <v>56</v>
      </c>
      <c r="B74" t="s">
        <v>106</v>
      </c>
      <c r="C74">
        <v>1730767</v>
      </c>
      <c r="D74">
        <v>16542</v>
      </c>
      <c r="E74" t="s">
        <v>21</v>
      </c>
      <c r="I74" t="s">
        <v>111</v>
      </c>
      <c r="L74" t="s">
        <v>27</v>
      </c>
      <c r="M74" t="s">
        <v>121</v>
      </c>
      <c r="Q74">
        <f t="shared" si="2"/>
        <v>30</v>
      </c>
      <c r="R74" cm="1">
        <f t="array" ref="R74">CalculateEventMomentumScore(E74, L74, M74, N74, O74, J74)</f>
        <v>17</v>
      </c>
      <c r="S74">
        <f t="shared" si="3"/>
        <v>17</v>
      </c>
    </row>
    <row r="75" spans="1:19" x14ac:dyDescent="0.3">
      <c r="A75" t="s">
        <v>88</v>
      </c>
      <c r="B75" t="s">
        <v>106</v>
      </c>
      <c r="C75">
        <v>1746216</v>
      </c>
      <c r="D75">
        <v>18411</v>
      </c>
      <c r="E75" t="s">
        <v>28</v>
      </c>
      <c r="F75" t="s">
        <v>108</v>
      </c>
      <c r="I75" t="s">
        <v>112</v>
      </c>
      <c r="J75" t="s">
        <v>25</v>
      </c>
      <c r="L75" t="s">
        <v>27</v>
      </c>
      <c r="M75" t="s">
        <v>24</v>
      </c>
      <c r="Q75">
        <f t="shared" si="2"/>
        <v>30</v>
      </c>
      <c r="R75" cm="1">
        <f t="array" ref="R75">CalculateEventMomentumScore(E75, L75, M75, N75, O75, J75)</f>
        <v>3</v>
      </c>
      <c r="S75">
        <f t="shared" si="3"/>
        <v>20</v>
      </c>
    </row>
    <row r="76" spans="1:19" x14ac:dyDescent="0.3">
      <c r="A76" t="s">
        <v>89</v>
      </c>
      <c r="B76" t="s">
        <v>106</v>
      </c>
      <c r="C76">
        <v>1748189</v>
      </c>
      <c r="D76">
        <v>27749</v>
      </c>
      <c r="E76" t="s">
        <v>30</v>
      </c>
      <c r="F76" t="s">
        <v>109</v>
      </c>
      <c r="G76" t="s">
        <v>110</v>
      </c>
      <c r="L76" t="s">
        <v>27</v>
      </c>
      <c r="M76" t="s">
        <v>120</v>
      </c>
      <c r="P76" t="s">
        <v>131</v>
      </c>
      <c r="Q76">
        <f t="shared" si="2"/>
        <v>30</v>
      </c>
      <c r="R76" cm="1">
        <f t="array" ref="R76">CalculateEventMomentumScore(E76, L76, M76, N76, O76, J76)</f>
        <v>6</v>
      </c>
      <c r="S76">
        <f t="shared" si="3"/>
        <v>9</v>
      </c>
    </row>
    <row r="77" spans="1:19" x14ac:dyDescent="0.3">
      <c r="A77" t="s">
        <v>90</v>
      </c>
      <c r="B77" t="s">
        <v>106</v>
      </c>
      <c r="C77">
        <v>1804174</v>
      </c>
      <c r="D77">
        <v>20947</v>
      </c>
      <c r="E77" t="s">
        <v>21</v>
      </c>
      <c r="K77" t="s">
        <v>117</v>
      </c>
      <c r="L77" t="s">
        <v>23</v>
      </c>
      <c r="M77" t="s">
        <v>29</v>
      </c>
      <c r="Q77">
        <f t="shared" si="2"/>
        <v>31</v>
      </c>
      <c r="R77" cm="1">
        <f t="array" ref="R77">CalculateEventMomentumScore(E77, L77, M77, N77, O77, J77)</f>
        <v>0</v>
      </c>
      <c r="S77">
        <f t="shared" si="3"/>
        <v>6</v>
      </c>
    </row>
    <row r="78" spans="1:19" x14ac:dyDescent="0.3">
      <c r="A78" t="s">
        <v>46</v>
      </c>
      <c r="B78" t="s">
        <v>106</v>
      </c>
      <c r="C78">
        <v>1821658</v>
      </c>
      <c r="D78">
        <v>18945</v>
      </c>
      <c r="E78" t="s">
        <v>21</v>
      </c>
      <c r="I78" t="s">
        <v>111</v>
      </c>
      <c r="L78" t="s">
        <v>27</v>
      </c>
      <c r="M78" t="s">
        <v>29</v>
      </c>
      <c r="Q78">
        <f t="shared" si="2"/>
        <v>31</v>
      </c>
      <c r="R78" cm="1">
        <f t="array" ref="R78">CalculateEventMomentumScore(E78, L78, M78, N78, O78, J78)</f>
        <v>0</v>
      </c>
      <c r="S78">
        <f t="shared" si="3"/>
        <v>0</v>
      </c>
    </row>
    <row r="79" spans="1:19" x14ac:dyDescent="0.3">
      <c r="A79" t="s">
        <v>47</v>
      </c>
      <c r="B79" t="s">
        <v>106</v>
      </c>
      <c r="C79">
        <v>1824093</v>
      </c>
      <c r="D79">
        <v>17210</v>
      </c>
      <c r="E79" t="s">
        <v>21</v>
      </c>
      <c r="F79" t="s">
        <v>109</v>
      </c>
      <c r="J79" t="s">
        <v>115</v>
      </c>
      <c r="L79" t="s">
        <v>23</v>
      </c>
      <c r="M79" t="s">
        <v>24</v>
      </c>
      <c r="Q79">
        <f t="shared" si="2"/>
        <v>31</v>
      </c>
      <c r="R79" cm="1">
        <f t="array" ref="R79">CalculateEventMomentumScore(E79, L79, M79, N79, O79, J79)</f>
        <v>-1</v>
      </c>
      <c r="S79">
        <f t="shared" si="3"/>
        <v>-1</v>
      </c>
    </row>
    <row r="80" spans="1:19" x14ac:dyDescent="0.3">
      <c r="A80" t="s">
        <v>61</v>
      </c>
      <c r="B80" t="s">
        <v>106</v>
      </c>
      <c r="C80">
        <v>1847884</v>
      </c>
      <c r="D80">
        <v>19946</v>
      </c>
      <c r="E80" t="s">
        <v>28</v>
      </c>
      <c r="I80" t="s">
        <v>111</v>
      </c>
      <c r="L80" t="s">
        <v>23</v>
      </c>
      <c r="M80" t="s">
        <v>24</v>
      </c>
      <c r="Q80">
        <f t="shared" si="2"/>
        <v>32</v>
      </c>
      <c r="R80" cm="1">
        <f t="array" ref="R80">CalculateEventMomentumScore(E80, L80, M80, N80, O80, J80)</f>
        <v>0</v>
      </c>
      <c r="S80">
        <f t="shared" si="3"/>
        <v>-1</v>
      </c>
    </row>
    <row r="81" spans="1:19" x14ac:dyDescent="0.3">
      <c r="A81" t="s">
        <v>91</v>
      </c>
      <c r="B81" t="s">
        <v>106</v>
      </c>
      <c r="C81">
        <v>1850987</v>
      </c>
      <c r="D81">
        <v>70263</v>
      </c>
      <c r="E81" t="s">
        <v>28</v>
      </c>
      <c r="F81" t="s">
        <v>108</v>
      </c>
      <c r="G81" t="s">
        <v>109</v>
      </c>
      <c r="H81" t="s">
        <v>110</v>
      </c>
      <c r="J81" t="s">
        <v>25</v>
      </c>
      <c r="L81" t="s">
        <v>23</v>
      </c>
      <c r="M81" t="s">
        <v>123</v>
      </c>
      <c r="Q81">
        <f t="shared" si="2"/>
        <v>32</v>
      </c>
      <c r="R81" cm="1">
        <f t="array" ref="R81">CalculateEventMomentumScore(E81, L81, M81, N81, O81, J81)</f>
        <v>-10</v>
      </c>
      <c r="S81">
        <f t="shared" si="3"/>
        <v>-10</v>
      </c>
    </row>
    <row r="82" spans="1:19" x14ac:dyDescent="0.3">
      <c r="A82" t="s">
        <v>92</v>
      </c>
      <c r="B82" t="s">
        <v>106</v>
      </c>
      <c r="C82">
        <v>1923293</v>
      </c>
      <c r="D82">
        <v>18611</v>
      </c>
      <c r="E82" t="s">
        <v>21</v>
      </c>
      <c r="I82" t="s">
        <v>114</v>
      </c>
      <c r="L82" t="s">
        <v>27</v>
      </c>
      <c r="M82" t="s">
        <v>29</v>
      </c>
      <c r="Q82">
        <f t="shared" si="2"/>
        <v>33</v>
      </c>
      <c r="R82" cm="1">
        <f t="array" ref="R82">CalculateEventMomentumScore(E82, L82, M82, N82, O82, J82)</f>
        <v>0</v>
      </c>
      <c r="S82">
        <f t="shared" si="3"/>
        <v>-10</v>
      </c>
    </row>
    <row r="83" spans="1:19" x14ac:dyDescent="0.3">
      <c r="A83" t="s">
        <v>73</v>
      </c>
      <c r="B83" t="s">
        <v>106</v>
      </c>
      <c r="C83">
        <v>1934904</v>
      </c>
      <c r="D83">
        <v>38031</v>
      </c>
      <c r="E83" t="s">
        <v>21</v>
      </c>
      <c r="F83" t="s">
        <v>109</v>
      </c>
      <c r="J83" t="s">
        <v>22</v>
      </c>
      <c r="L83" t="s">
        <v>23</v>
      </c>
      <c r="M83" t="s">
        <v>24</v>
      </c>
      <c r="Q83">
        <f t="shared" si="2"/>
        <v>33</v>
      </c>
      <c r="R83" cm="1">
        <f t="array" ref="R83">CalculateEventMomentumScore(E83, L83, M83, N83, O83, J83)</f>
        <v>-2</v>
      </c>
      <c r="S83">
        <f t="shared" si="3"/>
        <v>-2</v>
      </c>
    </row>
    <row r="84" spans="1:19" x14ac:dyDescent="0.3">
      <c r="A84" t="s">
        <v>93</v>
      </c>
      <c r="B84" t="s">
        <v>106</v>
      </c>
      <c r="C84">
        <v>1952427</v>
      </c>
      <c r="D84">
        <v>53174</v>
      </c>
      <c r="E84" t="s">
        <v>107</v>
      </c>
      <c r="F84" t="s">
        <v>109</v>
      </c>
      <c r="G84" t="s">
        <v>110</v>
      </c>
      <c r="L84" t="s">
        <v>27</v>
      </c>
      <c r="M84" t="s">
        <v>24</v>
      </c>
      <c r="P84" t="s">
        <v>130</v>
      </c>
      <c r="Q84">
        <f t="shared" si="2"/>
        <v>34</v>
      </c>
      <c r="R84" cm="1">
        <f t="array" ref="R84">CalculateEventMomentumScore(E84, L84, M84, N84, O84, J84)</f>
        <v>1</v>
      </c>
      <c r="S84">
        <f t="shared" si="3"/>
        <v>-1</v>
      </c>
    </row>
    <row r="85" spans="1:19" x14ac:dyDescent="0.3">
      <c r="A85" t="s">
        <v>94</v>
      </c>
      <c r="B85" t="s">
        <v>106</v>
      </c>
      <c r="C85">
        <v>1984425</v>
      </c>
      <c r="D85">
        <v>29083</v>
      </c>
      <c r="E85" t="s">
        <v>30</v>
      </c>
      <c r="F85" t="s">
        <v>108</v>
      </c>
      <c r="G85" t="s">
        <v>109</v>
      </c>
      <c r="L85" t="s">
        <v>23</v>
      </c>
      <c r="M85" t="s">
        <v>29</v>
      </c>
      <c r="P85" t="s">
        <v>125</v>
      </c>
      <c r="Q85">
        <f t="shared" si="2"/>
        <v>34</v>
      </c>
      <c r="R85" cm="1">
        <f t="array" ref="R85">CalculateEventMomentumScore(E85, L85, M85, N85, O85, J85)</f>
        <v>0</v>
      </c>
      <c r="S85">
        <f t="shared" si="3"/>
        <v>1</v>
      </c>
    </row>
    <row r="86" spans="1:19" x14ac:dyDescent="0.3">
      <c r="A86" t="s">
        <v>95</v>
      </c>
      <c r="B86" t="s">
        <v>106</v>
      </c>
      <c r="C86">
        <v>2014350</v>
      </c>
      <c r="D86">
        <v>18277</v>
      </c>
      <c r="E86" t="s">
        <v>21</v>
      </c>
      <c r="I86" t="s">
        <v>113</v>
      </c>
      <c r="L86" t="s">
        <v>27</v>
      </c>
      <c r="M86" t="s">
        <v>121</v>
      </c>
      <c r="Q86">
        <f t="shared" si="2"/>
        <v>35</v>
      </c>
      <c r="R86" cm="1">
        <f t="array" ref="R86">CalculateEventMomentumScore(E86, L86, M86, N86, O86, J86)</f>
        <v>17</v>
      </c>
      <c r="S86">
        <f t="shared" si="3"/>
        <v>17</v>
      </c>
    </row>
    <row r="87" spans="1:19" x14ac:dyDescent="0.3">
      <c r="A87" t="s">
        <v>96</v>
      </c>
      <c r="B87" t="s">
        <v>106</v>
      </c>
      <c r="C87">
        <v>2042645</v>
      </c>
      <c r="D87">
        <v>35000</v>
      </c>
      <c r="E87" t="s">
        <v>28</v>
      </c>
      <c r="I87" t="s">
        <v>114</v>
      </c>
      <c r="L87" t="s">
        <v>23</v>
      </c>
      <c r="M87" t="s">
        <v>121</v>
      </c>
      <c r="Q87">
        <f t="shared" si="2"/>
        <v>35</v>
      </c>
      <c r="R87" cm="1">
        <f t="array" ref="R87">CalculateEventMomentumScore(E87, L87, M87, N87, O87, J87)</f>
        <v>-17</v>
      </c>
      <c r="S87">
        <f t="shared" si="3"/>
        <v>0</v>
      </c>
    </row>
    <row r="88" spans="1:19" x14ac:dyDescent="0.3">
      <c r="A88" t="s">
        <v>97</v>
      </c>
      <c r="B88" t="s">
        <v>106</v>
      </c>
      <c r="C88">
        <v>2074911</v>
      </c>
      <c r="D88">
        <v>25752</v>
      </c>
      <c r="E88" t="s">
        <v>21</v>
      </c>
      <c r="F88" t="s">
        <v>108</v>
      </c>
      <c r="I88" t="s">
        <v>112</v>
      </c>
      <c r="J88" t="s">
        <v>25</v>
      </c>
      <c r="L88" t="s">
        <v>23</v>
      </c>
      <c r="M88" t="s">
        <v>24</v>
      </c>
      <c r="Q88">
        <f t="shared" si="2"/>
        <v>36</v>
      </c>
      <c r="R88" cm="1">
        <f t="array" ref="R88">CalculateEventMomentumScore(E88, L88, M88, N88, O88, J88)</f>
        <v>-3</v>
      </c>
      <c r="S88">
        <f t="shared" si="3"/>
        <v>-20</v>
      </c>
    </row>
    <row r="89" spans="1:19" x14ac:dyDescent="0.3">
      <c r="A89" t="s">
        <v>43</v>
      </c>
      <c r="B89" t="s">
        <v>106</v>
      </c>
      <c r="C89">
        <v>2084692</v>
      </c>
      <c r="D89">
        <v>22744</v>
      </c>
      <c r="E89" t="s">
        <v>107</v>
      </c>
      <c r="F89" t="s">
        <v>109</v>
      </c>
      <c r="G89" t="s">
        <v>110</v>
      </c>
      <c r="L89" t="s">
        <v>23</v>
      </c>
      <c r="M89" t="s">
        <v>120</v>
      </c>
      <c r="P89" t="s">
        <v>131</v>
      </c>
      <c r="Q89">
        <f t="shared" si="2"/>
        <v>36</v>
      </c>
      <c r="R89" cm="1">
        <f t="array" ref="R89">CalculateEventMomentumScore(E89, L89, M89, N89, O89, J89)</f>
        <v>-6</v>
      </c>
      <c r="S89">
        <f t="shared" si="3"/>
        <v>-9</v>
      </c>
    </row>
    <row r="90" spans="1:19" x14ac:dyDescent="0.3">
      <c r="A90" t="s">
        <v>37</v>
      </c>
      <c r="B90" t="s">
        <v>106</v>
      </c>
      <c r="C90">
        <v>2127263</v>
      </c>
      <c r="D90">
        <v>15675</v>
      </c>
      <c r="E90" t="s">
        <v>28</v>
      </c>
      <c r="K90" t="s">
        <v>117</v>
      </c>
      <c r="L90" t="s">
        <v>27</v>
      </c>
      <c r="M90" t="s">
        <v>24</v>
      </c>
      <c r="Q90">
        <f t="shared" si="2"/>
        <v>36</v>
      </c>
      <c r="R90" cm="1">
        <f t="array" ref="R90">CalculateEventMomentumScore(E90, L90, M90, N90, O90, J90)</f>
        <v>0</v>
      </c>
      <c r="S90">
        <f t="shared" si="3"/>
        <v>-6</v>
      </c>
    </row>
    <row r="91" spans="1:19" x14ac:dyDescent="0.3">
      <c r="A91" t="s">
        <v>78</v>
      </c>
      <c r="B91" t="s">
        <v>106</v>
      </c>
      <c r="C91">
        <v>2137840</v>
      </c>
      <c r="D91">
        <v>19278</v>
      </c>
      <c r="E91" t="s">
        <v>28</v>
      </c>
      <c r="F91" t="s">
        <v>109</v>
      </c>
      <c r="J91" t="s">
        <v>22</v>
      </c>
      <c r="L91" t="s">
        <v>27</v>
      </c>
      <c r="M91" t="s">
        <v>29</v>
      </c>
      <c r="Q91">
        <f t="shared" si="2"/>
        <v>37</v>
      </c>
      <c r="R91" cm="1">
        <f t="array" ref="R91">CalculateEventMomentumScore(E91, L91, M91, N91, O91, J91)</f>
        <v>2</v>
      </c>
      <c r="S91">
        <f t="shared" si="3"/>
        <v>2</v>
      </c>
    </row>
    <row r="92" spans="1:19" x14ac:dyDescent="0.3">
      <c r="A92" t="s">
        <v>42</v>
      </c>
      <c r="B92" t="s">
        <v>106</v>
      </c>
      <c r="C92">
        <v>2256592</v>
      </c>
      <c r="D92">
        <v>20213</v>
      </c>
      <c r="E92" t="s">
        <v>21</v>
      </c>
      <c r="F92" t="s">
        <v>108</v>
      </c>
      <c r="G92" t="s">
        <v>109</v>
      </c>
      <c r="J92" t="s">
        <v>22</v>
      </c>
      <c r="L92" t="s">
        <v>23</v>
      </c>
      <c r="M92" t="s">
        <v>24</v>
      </c>
      <c r="Q92">
        <f t="shared" si="2"/>
        <v>39</v>
      </c>
      <c r="R92" cm="1">
        <f t="array" ref="R92">CalculateEventMomentumScore(E92, L92, M92, N92, O92, J92)</f>
        <v>-2</v>
      </c>
      <c r="S92">
        <f t="shared" si="3"/>
        <v>0</v>
      </c>
    </row>
    <row r="93" spans="1:19" x14ac:dyDescent="0.3">
      <c r="A93" t="s">
        <v>72</v>
      </c>
      <c r="B93" t="s">
        <v>106</v>
      </c>
      <c r="C93">
        <v>2286055</v>
      </c>
      <c r="D93">
        <v>19145</v>
      </c>
      <c r="E93" t="s">
        <v>28</v>
      </c>
      <c r="I93" t="s">
        <v>111</v>
      </c>
      <c r="L93" t="s">
        <v>27</v>
      </c>
      <c r="M93" t="s">
        <v>29</v>
      </c>
      <c r="Q93">
        <f t="shared" si="2"/>
        <v>39</v>
      </c>
      <c r="R93" cm="1">
        <f t="array" ref="R93">CalculateEventMomentumScore(E93, L93, M93, N93, O93, J93)</f>
        <v>0</v>
      </c>
      <c r="S93">
        <f t="shared" si="3"/>
        <v>-2</v>
      </c>
    </row>
    <row r="94" spans="1:19" x14ac:dyDescent="0.3">
      <c r="A94" t="s">
        <v>98</v>
      </c>
      <c r="B94" t="s">
        <v>106</v>
      </c>
      <c r="C94">
        <v>2286927</v>
      </c>
      <c r="D94">
        <v>28282</v>
      </c>
      <c r="E94" t="s">
        <v>30</v>
      </c>
      <c r="F94" t="s">
        <v>109</v>
      </c>
      <c r="L94" t="s">
        <v>23</v>
      </c>
      <c r="M94" t="s">
        <v>24</v>
      </c>
      <c r="P94" t="s">
        <v>131</v>
      </c>
      <c r="Q94">
        <f t="shared" si="2"/>
        <v>39</v>
      </c>
      <c r="R94" cm="1">
        <f t="array" ref="R94">CalculateEventMomentumScore(E94, L94, M94, N94, O94, J94)</f>
        <v>-1</v>
      </c>
      <c r="S94">
        <f t="shared" si="3"/>
        <v>-1</v>
      </c>
    </row>
    <row r="95" spans="1:19" x14ac:dyDescent="0.3">
      <c r="A95" t="s">
        <v>99</v>
      </c>
      <c r="B95" t="s">
        <v>106</v>
      </c>
      <c r="C95">
        <v>2327229</v>
      </c>
      <c r="D95">
        <v>24417</v>
      </c>
      <c r="E95" t="s">
        <v>28</v>
      </c>
      <c r="I95" t="s">
        <v>113</v>
      </c>
      <c r="L95" t="s">
        <v>23</v>
      </c>
      <c r="M95" t="s">
        <v>119</v>
      </c>
      <c r="Q95">
        <f t="shared" si="2"/>
        <v>40</v>
      </c>
      <c r="R95" cm="1">
        <f t="array" ref="R95">CalculateEventMomentumScore(E95, L95, M95, N95, O95, J95)</f>
        <v>0</v>
      </c>
      <c r="S95">
        <f t="shared" si="3"/>
        <v>-1</v>
      </c>
    </row>
    <row r="96" spans="1:19" x14ac:dyDescent="0.3">
      <c r="A96" t="s">
        <v>61</v>
      </c>
      <c r="B96" t="s">
        <v>106</v>
      </c>
      <c r="C96">
        <v>2351220</v>
      </c>
      <c r="D96">
        <v>15808</v>
      </c>
      <c r="E96" t="s">
        <v>28</v>
      </c>
      <c r="I96" t="s">
        <v>111</v>
      </c>
      <c r="L96" t="s">
        <v>23</v>
      </c>
      <c r="M96" t="s">
        <v>24</v>
      </c>
      <c r="Q96">
        <f t="shared" si="2"/>
        <v>40</v>
      </c>
      <c r="R96" cm="1">
        <f t="array" ref="R96">CalculateEventMomentumScore(E96, L96, M96, N96, O96, J96)</f>
        <v>0</v>
      </c>
      <c r="S96">
        <f t="shared" si="3"/>
        <v>0</v>
      </c>
    </row>
    <row r="97" spans="1:19" x14ac:dyDescent="0.3">
      <c r="A97" t="s">
        <v>78</v>
      </c>
      <c r="B97" t="s">
        <v>106</v>
      </c>
      <c r="C97">
        <v>2357059</v>
      </c>
      <c r="D97">
        <v>20747</v>
      </c>
      <c r="E97" t="s">
        <v>28</v>
      </c>
      <c r="F97" t="s">
        <v>109</v>
      </c>
      <c r="J97" t="s">
        <v>22</v>
      </c>
      <c r="L97" t="s">
        <v>27</v>
      </c>
      <c r="M97" t="s">
        <v>29</v>
      </c>
      <c r="Q97">
        <f t="shared" si="2"/>
        <v>40</v>
      </c>
      <c r="R97" cm="1">
        <f t="array" ref="R97">CalculateEventMomentumScore(E97, L97, M97, N97, O97, J97)</f>
        <v>2</v>
      </c>
      <c r="S97">
        <f t="shared" si="3"/>
        <v>2</v>
      </c>
    </row>
    <row r="98" spans="1:19" x14ac:dyDescent="0.3">
      <c r="A98" t="s">
        <v>100</v>
      </c>
      <c r="B98" t="s">
        <v>106</v>
      </c>
      <c r="C98">
        <v>2373309</v>
      </c>
      <c r="D98">
        <v>24417</v>
      </c>
      <c r="E98" t="s">
        <v>21</v>
      </c>
      <c r="I98" t="s">
        <v>111</v>
      </c>
      <c r="L98" t="s">
        <v>27</v>
      </c>
      <c r="M98" t="s">
        <v>119</v>
      </c>
      <c r="Q98">
        <f t="shared" si="2"/>
        <v>41</v>
      </c>
      <c r="R98" cm="1">
        <f t="array" ref="R98">CalculateEventMomentumScore(E98, L98, M98, N98, O98, J98)</f>
        <v>0</v>
      </c>
      <c r="S98">
        <f t="shared" si="3"/>
        <v>2</v>
      </c>
    </row>
    <row r="99" spans="1:19" x14ac:dyDescent="0.3">
      <c r="A99" t="s">
        <v>46</v>
      </c>
      <c r="B99" t="s">
        <v>106</v>
      </c>
      <c r="C99">
        <v>2398868</v>
      </c>
      <c r="D99">
        <v>13473</v>
      </c>
      <c r="E99" t="s">
        <v>21</v>
      </c>
      <c r="I99" t="s">
        <v>111</v>
      </c>
      <c r="L99" t="s">
        <v>27</v>
      </c>
      <c r="M99" t="s">
        <v>29</v>
      </c>
      <c r="Q99">
        <f t="shared" si="2"/>
        <v>41</v>
      </c>
      <c r="R99" cm="1">
        <f t="array" ref="R99">CalculateEventMomentumScore(E99, L99, M99, N99, O99, J99)</f>
        <v>0</v>
      </c>
      <c r="S99">
        <f t="shared" si="3"/>
        <v>0</v>
      </c>
    </row>
    <row r="100" spans="1:19" x14ac:dyDescent="0.3">
      <c r="A100" t="s">
        <v>101</v>
      </c>
      <c r="B100" t="s">
        <v>106</v>
      </c>
      <c r="C100">
        <v>2402238</v>
      </c>
      <c r="D100">
        <v>36029</v>
      </c>
      <c r="E100" t="s">
        <v>21</v>
      </c>
      <c r="F100" t="s">
        <v>109</v>
      </c>
      <c r="G100" t="s">
        <v>110</v>
      </c>
      <c r="J100" t="s">
        <v>22</v>
      </c>
      <c r="L100" t="s">
        <v>27</v>
      </c>
      <c r="M100" t="s">
        <v>120</v>
      </c>
      <c r="Q100">
        <f t="shared" si="2"/>
        <v>41</v>
      </c>
      <c r="R100" cm="1">
        <f t="array" ref="R100">CalculateEventMomentumScore(E100, L100, M100, N100, O100, J100)</f>
        <v>6</v>
      </c>
      <c r="S100">
        <f t="shared" si="3"/>
        <v>6</v>
      </c>
    </row>
    <row r="101" spans="1:19" x14ac:dyDescent="0.3">
      <c r="A101" t="s">
        <v>65</v>
      </c>
      <c r="B101" t="s">
        <v>106</v>
      </c>
      <c r="C101">
        <v>2446048</v>
      </c>
      <c r="D101">
        <v>21948</v>
      </c>
      <c r="E101" t="s">
        <v>21</v>
      </c>
      <c r="K101" t="s">
        <v>117</v>
      </c>
      <c r="L101" t="s">
        <v>23</v>
      </c>
      <c r="M101" t="s">
        <v>24</v>
      </c>
      <c r="Q101">
        <f t="shared" si="2"/>
        <v>42</v>
      </c>
      <c r="R101" cm="1">
        <f t="array" ref="R101">CalculateEventMomentumScore(E101, L101, M101, N101, O101, J101)</f>
        <v>0</v>
      </c>
      <c r="S101">
        <f t="shared" si="3"/>
        <v>6</v>
      </c>
    </row>
    <row r="102" spans="1:19" x14ac:dyDescent="0.3">
      <c r="A102" t="s">
        <v>68</v>
      </c>
      <c r="B102" t="s">
        <v>106</v>
      </c>
      <c r="C102">
        <v>2478948</v>
      </c>
      <c r="D102">
        <v>16342</v>
      </c>
      <c r="E102" t="s">
        <v>28</v>
      </c>
      <c r="I102" t="s">
        <v>111</v>
      </c>
      <c r="L102" t="s">
        <v>27</v>
      </c>
      <c r="M102" t="s">
        <v>119</v>
      </c>
      <c r="Q102">
        <f t="shared" si="2"/>
        <v>42</v>
      </c>
      <c r="R102" cm="1">
        <f t="array" ref="R102">CalculateEventMomentumScore(E102, L102, M102, N102, O102, J102)</f>
        <v>0</v>
      </c>
      <c r="S102">
        <f t="shared" si="3"/>
        <v>0</v>
      </c>
    </row>
    <row r="103" spans="1:19" x14ac:dyDescent="0.3">
      <c r="A103" t="s">
        <v>70</v>
      </c>
      <c r="B103" t="s">
        <v>106</v>
      </c>
      <c r="C103">
        <v>2498167</v>
      </c>
      <c r="D103">
        <v>21214</v>
      </c>
      <c r="E103" t="s">
        <v>21</v>
      </c>
      <c r="I103" t="s">
        <v>113</v>
      </c>
      <c r="L103" t="s">
        <v>27</v>
      </c>
      <c r="M103" t="s">
        <v>29</v>
      </c>
      <c r="Q103">
        <f t="shared" si="2"/>
        <v>43</v>
      </c>
      <c r="R103" cm="1">
        <f t="array" ref="R103">CalculateEventMomentumScore(E103, L103, M103, N103, O103, J103)</f>
        <v>0</v>
      </c>
      <c r="S103">
        <f t="shared" si="3"/>
        <v>0</v>
      </c>
    </row>
    <row r="104" spans="1:19" x14ac:dyDescent="0.3">
      <c r="A104" t="s">
        <v>47</v>
      </c>
      <c r="B104" t="s">
        <v>106</v>
      </c>
      <c r="C104">
        <v>2503205</v>
      </c>
      <c r="D104">
        <v>49442</v>
      </c>
      <c r="E104" t="s">
        <v>21</v>
      </c>
      <c r="F104" t="s">
        <v>109</v>
      </c>
      <c r="J104" t="s">
        <v>115</v>
      </c>
      <c r="L104" t="s">
        <v>23</v>
      </c>
      <c r="M104" t="s">
        <v>24</v>
      </c>
      <c r="Q104">
        <f t="shared" si="2"/>
        <v>43</v>
      </c>
      <c r="R104" cm="1">
        <f t="array" ref="R104">CalculateEventMomentumScore(E104, L104, M104, N104, O104, J104)</f>
        <v>-1</v>
      </c>
      <c r="S104">
        <f t="shared" si="3"/>
        <v>-1</v>
      </c>
    </row>
    <row r="105" spans="1:19" x14ac:dyDescent="0.3">
      <c r="A105" t="s">
        <v>102</v>
      </c>
      <c r="B105" t="s">
        <v>106</v>
      </c>
      <c r="C105">
        <v>2532473</v>
      </c>
      <c r="D105">
        <v>35423</v>
      </c>
      <c r="E105" t="s">
        <v>107</v>
      </c>
      <c r="F105" t="s">
        <v>108</v>
      </c>
      <c r="G105" t="s">
        <v>109</v>
      </c>
      <c r="L105" t="s">
        <v>27</v>
      </c>
      <c r="M105" t="s">
        <v>29</v>
      </c>
      <c r="P105" t="s">
        <v>124</v>
      </c>
      <c r="Q105">
        <f t="shared" si="2"/>
        <v>43</v>
      </c>
      <c r="R105" cm="1">
        <f t="array" ref="R105">CalculateEventMomentumScore(E105, L105, M105, N105, O105, J105)</f>
        <v>1</v>
      </c>
      <c r="S105">
        <f t="shared" si="3"/>
        <v>0</v>
      </c>
    </row>
    <row r="106" spans="1:19" x14ac:dyDescent="0.3">
      <c r="A106" t="s">
        <v>87</v>
      </c>
      <c r="B106" t="s">
        <v>106</v>
      </c>
      <c r="C106">
        <v>2564166</v>
      </c>
      <c r="D106">
        <v>17543</v>
      </c>
      <c r="E106" t="s">
        <v>21</v>
      </c>
      <c r="I106" t="s">
        <v>113</v>
      </c>
      <c r="L106" t="s">
        <v>27</v>
      </c>
      <c r="M106" t="s">
        <v>119</v>
      </c>
      <c r="Q106">
        <f t="shared" si="2"/>
        <v>44</v>
      </c>
      <c r="R106" cm="1">
        <f t="array" ref="R106">CalculateEventMomentumScore(E106, L106, M106, N106, O106, J106)</f>
        <v>0</v>
      </c>
      <c r="S106">
        <f t="shared" si="3"/>
        <v>1</v>
      </c>
    </row>
    <row r="107" spans="1:19" x14ac:dyDescent="0.3">
      <c r="A107" t="s">
        <v>46</v>
      </c>
      <c r="B107" t="s">
        <v>106</v>
      </c>
      <c r="C107">
        <v>2578614</v>
      </c>
      <c r="D107">
        <v>17610</v>
      </c>
      <c r="E107" t="s">
        <v>21</v>
      </c>
      <c r="I107" t="s">
        <v>111</v>
      </c>
      <c r="L107" t="s">
        <v>27</v>
      </c>
      <c r="M107" t="s">
        <v>29</v>
      </c>
      <c r="Q107">
        <f t="shared" si="2"/>
        <v>44</v>
      </c>
      <c r="R107" cm="1">
        <f t="array" ref="R107">CalculateEventMomentumScore(E107, L107, M107, N107, O107, J107)</f>
        <v>0</v>
      </c>
      <c r="S107">
        <f t="shared" si="3"/>
        <v>0</v>
      </c>
    </row>
    <row r="108" spans="1:19" x14ac:dyDescent="0.3">
      <c r="A108" t="s">
        <v>73</v>
      </c>
      <c r="B108" t="s">
        <v>106</v>
      </c>
      <c r="C108">
        <v>2585988</v>
      </c>
      <c r="D108">
        <v>23349</v>
      </c>
      <c r="E108" t="s">
        <v>21</v>
      </c>
      <c r="F108" t="s">
        <v>109</v>
      </c>
      <c r="J108" t="s">
        <v>22</v>
      </c>
      <c r="L108" t="s">
        <v>23</v>
      </c>
      <c r="M108" t="s">
        <v>24</v>
      </c>
      <c r="Q108">
        <f t="shared" si="2"/>
        <v>44</v>
      </c>
      <c r="R108" cm="1">
        <f t="array" ref="R108">CalculateEventMomentumScore(E108, L108, M108, N108, O108, J108)</f>
        <v>-2</v>
      </c>
      <c r="S108">
        <f t="shared" si="3"/>
        <v>-2</v>
      </c>
    </row>
    <row r="109" spans="1:19" x14ac:dyDescent="0.3">
      <c r="A109" t="s">
        <v>61</v>
      </c>
      <c r="B109" t="s">
        <v>106</v>
      </c>
      <c r="C109">
        <v>2617586</v>
      </c>
      <c r="D109">
        <v>26486</v>
      </c>
      <c r="E109" t="s">
        <v>28</v>
      </c>
      <c r="I109" t="s">
        <v>111</v>
      </c>
      <c r="L109" t="s">
        <v>23</v>
      </c>
      <c r="M109" t="s">
        <v>24</v>
      </c>
      <c r="Q109">
        <f t="shared" si="2"/>
        <v>45</v>
      </c>
      <c r="R109" cm="1">
        <f t="array" ref="R109">CalculateEventMomentumScore(E109, L109, M109, N109, O109, J109)</f>
        <v>0</v>
      </c>
      <c r="S109">
        <f t="shared" si="3"/>
        <v>-2</v>
      </c>
    </row>
    <row r="110" spans="1:19" x14ac:dyDescent="0.3">
      <c r="A110" t="s">
        <v>81</v>
      </c>
      <c r="B110" t="s">
        <v>106</v>
      </c>
      <c r="C110">
        <v>2637072</v>
      </c>
      <c r="D110">
        <v>21214</v>
      </c>
      <c r="E110" t="s">
        <v>28</v>
      </c>
      <c r="F110" t="s">
        <v>109</v>
      </c>
      <c r="J110" t="s">
        <v>22</v>
      </c>
      <c r="L110" t="s">
        <v>27</v>
      </c>
      <c r="M110" t="s">
        <v>24</v>
      </c>
      <c r="Q110">
        <f t="shared" si="2"/>
        <v>45</v>
      </c>
      <c r="R110" cm="1">
        <f t="array" ref="R110">CalculateEventMomentumScore(E110, L110, M110, N110, O110, J110)</f>
        <v>2</v>
      </c>
      <c r="S110">
        <f t="shared" si="3"/>
        <v>2</v>
      </c>
    </row>
    <row r="111" spans="1:19" x14ac:dyDescent="0.3">
      <c r="A111" t="s">
        <v>94</v>
      </c>
      <c r="B111" t="s">
        <v>106</v>
      </c>
      <c r="C111">
        <v>2643050</v>
      </c>
      <c r="D111">
        <v>35823</v>
      </c>
      <c r="E111" t="s">
        <v>30</v>
      </c>
      <c r="F111" t="s">
        <v>108</v>
      </c>
      <c r="G111" t="s">
        <v>109</v>
      </c>
      <c r="L111" t="s">
        <v>23</v>
      </c>
      <c r="M111" t="s">
        <v>29</v>
      </c>
      <c r="P111" t="s">
        <v>125</v>
      </c>
      <c r="Q111">
        <f t="shared" si="2"/>
        <v>45</v>
      </c>
      <c r="R111" cm="1">
        <f t="array" ref="R111">CalculateEventMomentumScore(E111, L111, M111, N111, O111, J111)</f>
        <v>0</v>
      </c>
      <c r="S111">
        <f t="shared" si="3"/>
        <v>2</v>
      </c>
    </row>
    <row r="112" spans="1:19" x14ac:dyDescent="0.3">
      <c r="A112" t="s">
        <v>46</v>
      </c>
      <c r="B112" t="s">
        <v>106</v>
      </c>
      <c r="C112">
        <v>2685421</v>
      </c>
      <c r="D112">
        <v>24217</v>
      </c>
      <c r="E112" t="s">
        <v>21</v>
      </c>
      <c r="I112" t="s">
        <v>111</v>
      </c>
      <c r="L112" t="s">
        <v>27</v>
      </c>
      <c r="M112" t="s">
        <v>29</v>
      </c>
      <c r="Q112">
        <f t="shared" si="2"/>
        <v>46</v>
      </c>
      <c r="R112" cm="1">
        <f t="array" ref="R112">CalculateEventMomentumScore(E112, L112, M112, N112, O112, J112)</f>
        <v>0</v>
      </c>
      <c r="S112">
        <f t="shared" si="3"/>
        <v>0</v>
      </c>
    </row>
    <row r="113" spans="1:19" x14ac:dyDescent="0.3">
      <c r="A113" t="s">
        <v>103</v>
      </c>
      <c r="B113" t="s">
        <v>106</v>
      </c>
      <c r="C113">
        <v>2697337</v>
      </c>
      <c r="D113">
        <v>24078</v>
      </c>
      <c r="E113" t="s">
        <v>107</v>
      </c>
      <c r="F113" t="s">
        <v>108</v>
      </c>
      <c r="G113" t="s">
        <v>109</v>
      </c>
      <c r="L113" t="s">
        <v>23</v>
      </c>
      <c r="M113" t="s">
        <v>24</v>
      </c>
      <c r="P113" t="s">
        <v>124</v>
      </c>
      <c r="Q113">
        <f t="shared" si="2"/>
        <v>46</v>
      </c>
      <c r="R113" cm="1">
        <f t="array" ref="R113">CalculateEventMomentumScore(E113, L113, M113, N113, O113, J113)</f>
        <v>-1</v>
      </c>
      <c r="S113">
        <f t="shared" si="3"/>
        <v>-1</v>
      </c>
    </row>
    <row r="114" spans="1:19" x14ac:dyDescent="0.3">
      <c r="A114" t="s">
        <v>104</v>
      </c>
      <c r="B114" t="s">
        <v>106</v>
      </c>
      <c r="C114">
        <v>2703577</v>
      </c>
      <c r="D114">
        <v>24746</v>
      </c>
      <c r="E114" t="s">
        <v>30</v>
      </c>
      <c r="F114" t="s">
        <v>109</v>
      </c>
      <c r="G114" t="s">
        <v>110</v>
      </c>
      <c r="L114" t="s">
        <v>23</v>
      </c>
      <c r="M114" t="s">
        <v>24</v>
      </c>
      <c r="P114" t="s">
        <v>130</v>
      </c>
      <c r="Q114">
        <f t="shared" si="2"/>
        <v>46</v>
      </c>
      <c r="R114" cm="1">
        <f t="array" ref="R114">CalculateEventMomentumScore(E114, L114, M114, N114, O114, J114)</f>
        <v>-1</v>
      </c>
      <c r="S114">
        <f t="shared" si="3"/>
        <v>-2</v>
      </c>
    </row>
    <row r="115" spans="1:19" x14ac:dyDescent="0.3">
      <c r="A115" t="s">
        <v>105</v>
      </c>
      <c r="B115" t="s">
        <v>106</v>
      </c>
      <c r="C115">
        <v>2711952</v>
      </c>
      <c r="D115">
        <v>20541</v>
      </c>
      <c r="E115" t="s">
        <v>107</v>
      </c>
      <c r="F115" t="s">
        <v>108</v>
      </c>
      <c r="L115" t="s">
        <v>27</v>
      </c>
      <c r="M115" t="s">
        <v>24</v>
      </c>
      <c r="P115" t="s">
        <v>124</v>
      </c>
      <c r="Q115">
        <f t="shared" si="2"/>
        <v>46</v>
      </c>
      <c r="R115" cm="1">
        <f t="array" ref="R115">CalculateEventMomentumScore(E115, L115, M115, N115, O115, J115)</f>
        <v>1</v>
      </c>
      <c r="S115">
        <f t="shared" si="3"/>
        <v>0</v>
      </c>
    </row>
    <row r="116" spans="1:19" x14ac:dyDescent="0.3">
      <c r="A116" t="s">
        <v>132</v>
      </c>
      <c r="B116" t="s">
        <v>173</v>
      </c>
      <c r="C116">
        <v>0</v>
      </c>
      <c r="D116">
        <v>18883</v>
      </c>
      <c r="E116" t="s">
        <v>28</v>
      </c>
      <c r="K116" t="s">
        <v>116</v>
      </c>
      <c r="L116" t="s">
        <v>27</v>
      </c>
      <c r="M116" t="s">
        <v>119</v>
      </c>
      <c r="Q116">
        <f t="shared" si="2"/>
        <v>1</v>
      </c>
      <c r="R116" cm="1">
        <f t="array" ref="R116">CalculateEventMomentumScore(E116, L116, M116, N116, O116, J116)</f>
        <v>0</v>
      </c>
      <c r="S116">
        <f t="shared" si="3"/>
        <v>1</v>
      </c>
    </row>
    <row r="117" spans="1:19" x14ac:dyDescent="0.3">
      <c r="A117" t="s">
        <v>46</v>
      </c>
      <c r="B117" t="s">
        <v>173</v>
      </c>
      <c r="C117">
        <v>14552</v>
      </c>
      <c r="D117">
        <v>14273</v>
      </c>
      <c r="E117" t="s">
        <v>21</v>
      </c>
      <c r="I117" t="s">
        <v>111</v>
      </c>
      <c r="L117" t="s">
        <v>27</v>
      </c>
      <c r="M117" t="s">
        <v>29</v>
      </c>
      <c r="Q117">
        <f t="shared" si="2"/>
        <v>1</v>
      </c>
      <c r="R117" cm="1">
        <f t="array" ref="R117">CalculateEventMomentumScore(E117, L117, M117, N117, O117, J117)</f>
        <v>0</v>
      </c>
      <c r="S117">
        <f t="shared" si="3"/>
        <v>0</v>
      </c>
    </row>
    <row r="118" spans="1:19" x14ac:dyDescent="0.3">
      <c r="A118" t="s">
        <v>42</v>
      </c>
      <c r="B118" t="s">
        <v>173</v>
      </c>
      <c r="C118">
        <v>18089</v>
      </c>
      <c r="D118">
        <v>35361</v>
      </c>
      <c r="E118" t="s">
        <v>21</v>
      </c>
      <c r="F118" t="s">
        <v>108</v>
      </c>
      <c r="G118" t="s">
        <v>109</v>
      </c>
      <c r="J118" t="s">
        <v>22</v>
      </c>
      <c r="L118" t="s">
        <v>23</v>
      </c>
      <c r="M118" t="s">
        <v>24</v>
      </c>
      <c r="Q118">
        <f t="shared" si="2"/>
        <v>1</v>
      </c>
      <c r="R118" cm="1">
        <f t="array" ref="R118">CalculateEventMomentumScore(E118, L118, M118, N118, O118, J118)</f>
        <v>-2</v>
      </c>
      <c r="S118">
        <f t="shared" si="3"/>
        <v>-2</v>
      </c>
    </row>
    <row r="119" spans="1:19" x14ac:dyDescent="0.3">
      <c r="A119" t="s">
        <v>77</v>
      </c>
      <c r="B119" t="s">
        <v>173</v>
      </c>
      <c r="C119">
        <v>34544</v>
      </c>
      <c r="D119">
        <v>34222</v>
      </c>
      <c r="E119" t="s">
        <v>107</v>
      </c>
      <c r="F119" t="s">
        <v>109</v>
      </c>
      <c r="L119" t="s">
        <v>27</v>
      </c>
      <c r="M119" t="s">
        <v>24</v>
      </c>
      <c r="P119" t="s">
        <v>131</v>
      </c>
      <c r="Q119">
        <f t="shared" si="2"/>
        <v>2</v>
      </c>
      <c r="R119" cm="1">
        <f t="array" ref="R119">CalculateEventMomentumScore(E119, L119, M119, N119, O119, J119)</f>
        <v>1</v>
      </c>
      <c r="S119">
        <f t="shared" si="3"/>
        <v>-1</v>
      </c>
    </row>
    <row r="120" spans="1:19" x14ac:dyDescent="0.3">
      <c r="A120" t="s">
        <v>57</v>
      </c>
      <c r="B120" t="s">
        <v>173</v>
      </c>
      <c r="C120">
        <v>63101</v>
      </c>
      <c r="D120">
        <v>15208</v>
      </c>
      <c r="E120" t="s">
        <v>28</v>
      </c>
      <c r="F120" t="s">
        <v>108</v>
      </c>
      <c r="J120" t="s">
        <v>25</v>
      </c>
      <c r="L120" t="s">
        <v>27</v>
      </c>
      <c r="M120" t="s">
        <v>24</v>
      </c>
      <c r="Q120">
        <f t="shared" si="2"/>
        <v>2</v>
      </c>
      <c r="R120" cm="1">
        <f t="array" ref="R120">CalculateEventMomentumScore(E120, L120, M120, N120, O120, J120)</f>
        <v>3</v>
      </c>
      <c r="S120">
        <f t="shared" si="3"/>
        <v>4</v>
      </c>
    </row>
    <row r="121" spans="1:19" x14ac:dyDescent="0.3">
      <c r="A121" t="s">
        <v>68</v>
      </c>
      <c r="B121" t="s">
        <v>173</v>
      </c>
      <c r="C121">
        <v>89561</v>
      </c>
      <c r="D121">
        <v>12939</v>
      </c>
      <c r="E121" t="s">
        <v>28</v>
      </c>
      <c r="I121" t="s">
        <v>111</v>
      </c>
      <c r="L121" t="s">
        <v>27</v>
      </c>
      <c r="M121" t="s">
        <v>119</v>
      </c>
      <c r="Q121">
        <f t="shared" si="2"/>
        <v>2</v>
      </c>
      <c r="R121" cm="1">
        <f t="array" ref="R121">CalculateEventMomentumScore(E121, L121, M121, N121, O121, J121)</f>
        <v>0</v>
      </c>
      <c r="S121">
        <f t="shared" si="3"/>
        <v>3</v>
      </c>
    </row>
    <row r="122" spans="1:19" x14ac:dyDescent="0.3">
      <c r="A122" t="s">
        <v>35</v>
      </c>
      <c r="B122" t="s">
        <v>173</v>
      </c>
      <c r="C122">
        <v>98636</v>
      </c>
      <c r="D122">
        <v>17343</v>
      </c>
      <c r="E122" t="s">
        <v>21</v>
      </c>
      <c r="I122" t="s">
        <v>111</v>
      </c>
      <c r="L122" t="s">
        <v>23</v>
      </c>
      <c r="M122" t="s">
        <v>24</v>
      </c>
      <c r="Q122">
        <f t="shared" si="2"/>
        <v>3</v>
      </c>
      <c r="R122" cm="1">
        <f t="array" ref="R122">CalculateEventMomentumScore(E122, L122, M122, N122, O122, J122)</f>
        <v>0</v>
      </c>
      <c r="S122">
        <f t="shared" si="3"/>
        <v>0</v>
      </c>
    </row>
    <row r="123" spans="1:19" x14ac:dyDescent="0.3">
      <c r="A123" t="s">
        <v>75</v>
      </c>
      <c r="B123" t="s">
        <v>173</v>
      </c>
      <c r="C123">
        <v>100410</v>
      </c>
      <c r="D123">
        <v>30018</v>
      </c>
      <c r="E123" t="s">
        <v>107</v>
      </c>
      <c r="F123" t="s">
        <v>109</v>
      </c>
      <c r="G123" t="s">
        <v>110</v>
      </c>
      <c r="L123" t="s">
        <v>23</v>
      </c>
      <c r="M123" t="s">
        <v>121</v>
      </c>
      <c r="P123" t="s">
        <v>131</v>
      </c>
      <c r="Q123">
        <f t="shared" si="2"/>
        <v>3</v>
      </c>
      <c r="R123" cm="1">
        <f t="array" ref="R123">CalculateEventMomentumScore(E123, L123, M123, N123, O123, J123)</f>
        <v>-17</v>
      </c>
      <c r="S123">
        <f t="shared" si="3"/>
        <v>-17</v>
      </c>
    </row>
    <row r="124" spans="1:19" x14ac:dyDescent="0.3">
      <c r="A124" t="s">
        <v>81</v>
      </c>
      <c r="B124" t="s">
        <v>173</v>
      </c>
      <c r="C124">
        <v>124896</v>
      </c>
      <c r="D124">
        <v>20546</v>
      </c>
      <c r="E124" t="s">
        <v>28</v>
      </c>
      <c r="F124" t="s">
        <v>109</v>
      </c>
      <c r="J124" t="s">
        <v>22</v>
      </c>
      <c r="L124" t="s">
        <v>27</v>
      </c>
      <c r="M124" t="s">
        <v>24</v>
      </c>
      <c r="Q124">
        <f t="shared" si="2"/>
        <v>3</v>
      </c>
      <c r="R124" cm="1">
        <f t="array" ref="R124">CalculateEventMomentumScore(E124, L124, M124, N124, O124, J124)</f>
        <v>2</v>
      </c>
      <c r="S124">
        <f t="shared" si="3"/>
        <v>-15</v>
      </c>
    </row>
    <row r="125" spans="1:19" x14ac:dyDescent="0.3">
      <c r="A125" t="s">
        <v>50</v>
      </c>
      <c r="B125" t="s">
        <v>173</v>
      </c>
      <c r="C125">
        <v>139511</v>
      </c>
      <c r="D125">
        <v>15074</v>
      </c>
      <c r="E125" t="s">
        <v>28</v>
      </c>
      <c r="I125" t="s">
        <v>113</v>
      </c>
      <c r="L125" t="s">
        <v>23</v>
      </c>
      <c r="M125" t="s">
        <v>24</v>
      </c>
      <c r="Q125">
        <f t="shared" si="2"/>
        <v>3</v>
      </c>
      <c r="R125" cm="1">
        <f t="array" ref="R125">CalculateEventMomentumScore(E125, L125, M125, N125, O125, J125)</f>
        <v>0</v>
      </c>
      <c r="S125">
        <f t="shared" si="3"/>
        <v>2</v>
      </c>
    </row>
    <row r="126" spans="1:19" x14ac:dyDescent="0.3">
      <c r="A126" t="s">
        <v>81</v>
      </c>
      <c r="B126" t="s">
        <v>173</v>
      </c>
      <c r="C126">
        <v>144115</v>
      </c>
      <c r="D126">
        <v>37230</v>
      </c>
      <c r="E126" t="s">
        <v>28</v>
      </c>
      <c r="F126" t="s">
        <v>109</v>
      </c>
      <c r="J126" t="s">
        <v>22</v>
      </c>
      <c r="L126" t="s">
        <v>27</v>
      </c>
      <c r="M126" t="s">
        <v>24</v>
      </c>
      <c r="Q126">
        <f t="shared" si="2"/>
        <v>3</v>
      </c>
      <c r="R126" cm="1">
        <f t="array" ref="R126">CalculateEventMomentumScore(E126, L126, M126, N126, O126, J126)</f>
        <v>2</v>
      </c>
      <c r="S126">
        <f t="shared" si="3"/>
        <v>2</v>
      </c>
    </row>
    <row r="127" spans="1:19" x14ac:dyDescent="0.3">
      <c r="A127" t="s">
        <v>98</v>
      </c>
      <c r="B127" t="s">
        <v>173</v>
      </c>
      <c r="C127">
        <v>159269</v>
      </c>
      <c r="D127">
        <v>30151</v>
      </c>
      <c r="E127" t="s">
        <v>30</v>
      </c>
      <c r="F127" t="s">
        <v>109</v>
      </c>
      <c r="L127" t="s">
        <v>23</v>
      </c>
      <c r="M127" t="s">
        <v>24</v>
      </c>
      <c r="P127" t="s">
        <v>128</v>
      </c>
      <c r="Q127">
        <f t="shared" si="2"/>
        <v>4</v>
      </c>
      <c r="R127" cm="1">
        <f t="array" ref="R127">CalculateEventMomentumScore(E127, L127, M127, N127, O127, J127)</f>
        <v>-1</v>
      </c>
      <c r="S127">
        <f t="shared" si="3"/>
        <v>1</v>
      </c>
    </row>
    <row r="128" spans="1:19" x14ac:dyDescent="0.3">
      <c r="A128" t="s">
        <v>133</v>
      </c>
      <c r="B128" t="s">
        <v>173</v>
      </c>
      <c r="C128">
        <v>177420</v>
      </c>
      <c r="D128">
        <v>52040</v>
      </c>
      <c r="E128" t="s">
        <v>107</v>
      </c>
      <c r="F128" t="s">
        <v>109</v>
      </c>
      <c r="G128" t="s">
        <v>110</v>
      </c>
      <c r="L128" t="s">
        <v>23</v>
      </c>
      <c r="M128" t="s">
        <v>26</v>
      </c>
      <c r="P128" t="s">
        <v>131</v>
      </c>
      <c r="Q128">
        <f t="shared" si="2"/>
        <v>4</v>
      </c>
      <c r="R128" cm="1">
        <f t="array" ref="R128">CalculateEventMomentumScore(E128, L128, M128, N128, O128, J128)</f>
        <v>-20</v>
      </c>
      <c r="S128">
        <f t="shared" si="3"/>
        <v>-21</v>
      </c>
    </row>
    <row r="129" spans="1:19" x14ac:dyDescent="0.3">
      <c r="A129" t="s">
        <v>41</v>
      </c>
      <c r="B129" t="s">
        <v>173</v>
      </c>
      <c r="C129">
        <v>236774</v>
      </c>
      <c r="D129">
        <v>16676</v>
      </c>
      <c r="E129" t="s">
        <v>21</v>
      </c>
      <c r="K129" t="s">
        <v>116</v>
      </c>
      <c r="L129" t="s">
        <v>27</v>
      </c>
      <c r="M129" t="s">
        <v>29</v>
      </c>
      <c r="Q129">
        <f t="shared" si="2"/>
        <v>5</v>
      </c>
      <c r="R129" cm="1">
        <f t="array" ref="R129">CalculateEventMomentumScore(E129, L129, M129, N129, O129, J129)</f>
        <v>0</v>
      </c>
      <c r="S129">
        <f t="shared" si="3"/>
        <v>-20</v>
      </c>
    </row>
    <row r="130" spans="1:19" x14ac:dyDescent="0.3">
      <c r="A130" t="s">
        <v>134</v>
      </c>
      <c r="B130" t="s">
        <v>173</v>
      </c>
      <c r="C130">
        <v>246451</v>
      </c>
      <c r="D130">
        <v>24517</v>
      </c>
      <c r="E130" t="s">
        <v>21</v>
      </c>
      <c r="F130" t="s">
        <v>108</v>
      </c>
      <c r="G130" t="s">
        <v>109</v>
      </c>
      <c r="H130" t="s">
        <v>110</v>
      </c>
      <c r="J130" t="s">
        <v>22</v>
      </c>
      <c r="L130" t="s">
        <v>27</v>
      </c>
      <c r="M130" t="s">
        <v>123</v>
      </c>
      <c r="Q130">
        <f t="shared" si="2"/>
        <v>5</v>
      </c>
      <c r="R130" cm="1">
        <f t="array" ref="R130">CalculateEventMomentumScore(E130, L130, M130, N130, O130, J130)</f>
        <v>10</v>
      </c>
      <c r="S130">
        <f t="shared" si="3"/>
        <v>10</v>
      </c>
    </row>
    <row r="131" spans="1:19" x14ac:dyDescent="0.3">
      <c r="A131" t="s">
        <v>135</v>
      </c>
      <c r="B131" t="s">
        <v>173</v>
      </c>
      <c r="C131">
        <v>282020</v>
      </c>
      <c r="D131">
        <v>43636</v>
      </c>
      <c r="E131" t="s">
        <v>28</v>
      </c>
      <c r="I131" t="s">
        <v>114</v>
      </c>
      <c r="L131" t="s">
        <v>27</v>
      </c>
      <c r="M131" t="s">
        <v>119</v>
      </c>
      <c r="Q131">
        <f t="shared" ref="Q131:Q194" si="4">ROUND(C131/60000, 0)+1</f>
        <v>6</v>
      </c>
      <c r="R131" cm="1">
        <f t="array" ref="R131">CalculateEventMomentumScore(E131, L131, M131, N131, O131, J131)</f>
        <v>0</v>
      </c>
      <c r="S131">
        <f t="shared" si="3"/>
        <v>10</v>
      </c>
    </row>
    <row r="132" spans="1:19" x14ac:dyDescent="0.3">
      <c r="A132" t="s">
        <v>70</v>
      </c>
      <c r="B132" t="s">
        <v>173</v>
      </c>
      <c r="C132">
        <v>327031</v>
      </c>
      <c r="D132">
        <v>19012</v>
      </c>
      <c r="E132" t="s">
        <v>21</v>
      </c>
      <c r="I132" t="s">
        <v>113</v>
      </c>
      <c r="L132" t="s">
        <v>27</v>
      </c>
      <c r="M132" t="s">
        <v>29</v>
      </c>
      <c r="Q132">
        <f t="shared" si="4"/>
        <v>6</v>
      </c>
      <c r="R132" cm="1">
        <f t="array" ref="R132">CalculateEventMomentumScore(E132, L132, M132, N132, O132, J132)</f>
        <v>0</v>
      </c>
      <c r="S132">
        <f t="shared" ref="S132:S195" si="5">R131+R132</f>
        <v>0</v>
      </c>
    </row>
    <row r="133" spans="1:19" x14ac:dyDescent="0.3">
      <c r="A133" t="s">
        <v>42</v>
      </c>
      <c r="B133" t="s">
        <v>173</v>
      </c>
      <c r="C133">
        <v>328900</v>
      </c>
      <c r="D133">
        <v>31090</v>
      </c>
      <c r="E133" t="s">
        <v>21</v>
      </c>
      <c r="F133" t="s">
        <v>108</v>
      </c>
      <c r="G133" t="s">
        <v>109</v>
      </c>
      <c r="J133" t="s">
        <v>22</v>
      </c>
      <c r="L133" t="s">
        <v>23</v>
      </c>
      <c r="M133" t="s">
        <v>24</v>
      </c>
      <c r="Q133">
        <f t="shared" si="4"/>
        <v>6</v>
      </c>
      <c r="R133" cm="1">
        <f t="array" ref="R133">CalculateEventMomentumScore(E133, L133, M133, N133, O133, J133)</f>
        <v>-2</v>
      </c>
      <c r="S133">
        <f t="shared" si="5"/>
        <v>-2</v>
      </c>
    </row>
    <row r="134" spans="1:19" x14ac:dyDescent="0.3">
      <c r="A134" t="s">
        <v>69</v>
      </c>
      <c r="B134" t="s">
        <v>173</v>
      </c>
      <c r="C134">
        <v>344954</v>
      </c>
      <c r="D134">
        <v>31419</v>
      </c>
      <c r="E134" t="s">
        <v>107</v>
      </c>
      <c r="F134" t="s">
        <v>109</v>
      </c>
      <c r="L134" t="s">
        <v>27</v>
      </c>
      <c r="M134" t="s">
        <v>29</v>
      </c>
      <c r="P134" t="s">
        <v>130</v>
      </c>
      <c r="Q134">
        <f t="shared" si="4"/>
        <v>7</v>
      </c>
      <c r="R134" cm="1">
        <f t="array" ref="R134">CalculateEventMomentumScore(E134, L134, M134, N134, O134, J134)</f>
        <v>1</v>
      </c>
      <c r="S134">
        <f t="shared" si="5"/>
        <v>-1</v>
      </c>
    </row>
    <row r="135" spans="1:19" x14ac:dyDescent="0.3">
      <c r="A135" t="s">
        <v>136</v>
      </c>
      <c r="B135" t="s">
        <v>173</v>
      </c>
      <c r="C135">
        <v>375947</v>
      </c>
      <c r="D135">
        <v>48808</v>
      </c>
      <c r="E135" t="s">
        <v>21</v>
      </c>
      <c r="F135" t="s">
        <v>108</v>
      </c>
      <c r="G135" t="s">
        <v>109</v>
      </c>
      <c r="I135" t="s">
        <v>112</v>
      </c>
      <c r="J135" t="s">
        <v>22</v>
      </c>
      <c r="L135" t="s">
        <v>23</v>
      </c>
      <c r="M135" t="s">
        <v>24</v>
      </c>
      <c r="Q135">
        <f t="shared" si="4"/>
        <v>7</v>
      </c>
      <c r="R135" cm="1">
        <f t="array" ref="R135">CalculateEventMomentumScore(E135, L135, M135, N135, O135, J135)</f>
        <v>-2</v>
      </c>
      <c r="S135">
        <f t="shared" si="5"/>
        <v>-1</v>
      </c>
    </row>
    <row r="136" spans="1:19" x14ac:dyDescent="0.3">
      <c r="A136" t="s">
        <v>69</v>
      </c>
      <c r="B136" t="s">
        <v>173</v>
      </c>
      <c r="C136">
        <v>407884</v>
      </c>
      <c r="D136">
        <v>28416</v>
      </c>
      <c r="E136" t="s">
        <v>107</v>
      </c>
      <c r="F136" t="s">
        <v>109</v>
      </c>
      <c r="L136" t="s">
        <v>27</v>
      </c>
      <c r="M136" t="s">
        <v>29</v>
      </c>
      <c r="P136" t="s">
        <v>129</v>
      </c>
      <c r="Q136">
        <f t="shared" si="4"/>
        <v>8</v>
      </c>
      <c r="R136" cm="1">
        <f t="array" ref="R136">CalculateEventMomentumScore(E136, L136, M136, N136, O136, J136)</f>
        <v>1</v>
      </c>
      <c r="S136">
        <f t="shared" si="5"/>
        <v>-1</v>
      </c>
    </row>
    <row r="137" spans="1:19" x14ac:dyDescent="0.3">
      <c r="A137" t="s">
        <v>137</v>
      </c>
      <c r="B137" t="s">
        <v>173</v>
      </c>
      <c r="C137">
        <v>434472</v>
      </c>
      <c r="D137">
        <v>23816</v>
      </c>
      <c r="E137" t="s">
        <v>21</v>
      </c>
      <c r="I137" t="s">
        <v>113</v>
      </c>
      <c r="J137" t="s">
        <v>22</v>
      </c>
      <c r="L137" t="s">
        <v>23</v>
      </c>
      <c r="M137" t="s">
        <v>24</v>
      </c>
      <c r="Q137">
        <f t="shared" si="4"/>
        <v>8</v>
      </c>
      <c r="R137" cm="1">
        <f t="array" ref="R137">CalculateEventMomentumScore(E137, L137, M137, N137, O137, J137)</f>
        <v>-2</v>
      </c>
      <c r="S137">
        <f t="shared" si="5"/>
        <v>-1</v>
      </c>
    </row>
    <row r="138" spans="1:19" x14ac:dyDescent="0.3">
      <c r="A138" t="s">
        <v>138</v>
      </c>
      <c r="B138" t="s">
        <v>173</v>
      </c>
      <c r="C138">
        <v>444787</v>
      </c>
      <c r="D138">
        <v>39160</v>
      </c>
      <c r="E138" t="s">
        <v>107</v>
      </c>
      <c r="F138" t="s">
        <v>108</v>
      </c>
      <c r="G138" t="s">
        <v>109</v>
      </c>
      <c r="H138" t="s">
        <v>110</v>
      </c>
      <c r="L138" t="s">
        <v>23</v>
      </c>
      <c r="M138" t="s">
        <v>123</v>
      </c>
      <c r="P138" t="s">
        <v>125</v>
      </c>
      <c r="Q138">
        <f t="shared" si="4"/>
        <v>8</v>
      </c>
      <c r="R138" cm="1">
        <f t="array" ref="R138">CalculateEventMomentumScore(E138, L138, M138, N138, O138, J138)</f>
        <v>-10</v>
      </c>
      <c r="S138">
        <f t="shared" si="5"/>
        <v>-12</v>
      </c>
    </row>
    <row r="139" spans="1:19" x14ac:dyDescent="0.3">
      <c r="A139" t="s">
        <v>139</v>
      </c>
      <c r="B139" t="s">
        <v>173</v>
      </c>
      <c r="C139">
        <v>485256</v>
      </c>
      <c r="D139">
        <v>30023</v>
      </c>
      <c r="E139" t="s">
        <v>21</v>
      </c>
      <c r="I139" t="s">
        <v>114</v>
      </c>
      <c r="L139" t="s">
        <v>27</v>
      </c>
      <c r="M139" t="s">
        <v>121</v>
      </c>
      <c r="Q139">
        <f t="shared" si="4"/>
        <v>9</v>
      </c>
      <c r="R139" cm="1">
        <f t="array" ref="R139">CalculateEventMomentumScore(E139, L139, M139, N139, O139, J139)</f>
        <v>17</v>
      </c>
      <c r="S139">
        <f t="shared" si="5"/>
        <v>7</v>
      </c>
    </row>
    <row r="140" spans="1:19" x14ac:dyDescent="0.3">
      <c r="A140" t="s">
        <v>140</v>
      </c>
      <c r="B140" t="s">
        <v>173</v>
      </c>
      <c r="C140">
        <v>525096</v>
      </c>
      <c r="D140">
        <v>23282</v>
      </c>
      <c r="E140" t="s">
        <v>28</v>
      </c>
      <c r="I140" t="s">
        <v>114</v>
      </c>
      <c r="L140" t="s">
        <v>23</v>
      </c>
      <c r="M140" t="s">
        <v>119</v>
      </c>
      <c r="Q140">
        <f t="shared" si="4"/>
        <v>10</v>
      </c>
      <c r="R140" cm="1">
        <f t="array" ref="R140">CalculateEventMomentumScore(E140, L140, M140, N140, O140, J140)</f>
        <v>0</v>
      </c>
      <c r="S140">
        <f t="shared" si="5"/>
        <v>17</v>
      </c>
    </row>
    <row r="141" spans="1:19" x14ac:dyDescent="0.3">
      <c r="A141" t="s">
        <v>141</v>
      </c>
      <c r="B141" t="s">
        <v>173</v>
      </c>
      <c r="C141">
        <v>554025</v>
      </c>
      <c r="D141">
        <v>19212</v>
      </c>
      <c r="E141" t="s">
        <v>28</v>
      </c>
      <c r="I141" t="s">
        <v>111</v>
      </c>
      <c r="L141" t="s">
        <v>23</v>
      </c>
      <c r="M141" t="s">
        <v>121</v>
      </c>
      <c r="Q141">
        <f t="shared" si="4"/>
        <v>10</v>
      </c>
      <c r="R141" cm="1">
        <f t="array" ref="R141">CalculateEventMomentumScore(E141, L141, M141, N141, O141, J141)</f>
        <v>-17</v>
      </c>
      <c r="S141">
        <f t="shared" si="5"/>
        <v>-17</v>
      </c>
    </row>
    <row r="142" spans="1:19" x14ac:dyDescent="0.3">
      <c r="A142" t="s">
        <v>58</v>
      </c>
      <c r="B142" t="s">
        <v>173</v>
      </c>
      <c r="C142">
        <v>584422</v>
      </c>
      <c r="D142">
        <v>17410</v>
      </c>
      <c r="E142" t="s">
        <v>28</v>
      </c>
      <c r="I142" t="s">
        <v>111</v>
      </c>
      <c r="L142" t="s">
        <v>27</v>
      </c>
      <c r="M142" t="s">
        <v>24</v>
      </c>
      <c r="Q142">
        <f t="shared" si="4"/>
        <v>11</v>
      </c>
      <c r="R142" cm="1">
        <f t="array" ref="R142">CalculateEventMomentumScore(E142, L142, M142, N142, O142, J142)</f>
        <v>0</v>
      </c>
      <c r="S142">
        <f t="shared" si="5"/>
        <v>-17</v>
      </c>
    </row>
    <row r="143" spans="1:19" x14ac:dyDescent="0.3">
      <c r="A143" t="s">
        <v>94</v>
      </c>
      <c r="B143" t="s">
        <v>173</v>
      </c>
      <c r="C143">
        <v>587096</v>
      </c>
      <c r="D143">
        <v>26547</v>
      </c>
      <c r="E143" t="s">
        <v>30</v>
      </c>
      <c r="F143" t="s">
        <v>108</v>
      </c>
      <c r="G143" t="s">
        <v>109</v>
      </c>
      <c r="L143" t="s">
        <v>23</v>
      </c>
      <c r="M143" t="s">
        <v>29</v>
      </c>
      <c r="P143" t="s">
        <v>125</v>
      </c>
      <c r="Q143">
        <f t="shared" si="4"/>
        <v>11</v>
      </c>
      <c r="R143" cm="1">
        <f t="array" ref="R143">CalculateEventMomentumScore(E143, L143, M143, N143, O143, J143)</f>
        <v>0</v>
      </c>
      <c r="S143">
        <f t="shared" si="5"/>
        <v>0</v>
      </c>
    </row>
    <row r="144" spans="1:19" x14ac:dyDescent="0.3">
      <c r="A144" t="s">
        <v>46</v>
      </c>
      <c r="B144" t="s">
        <v>173</v>
      </c>
      <c r="C144">
        <v>609080</v>
      </c>
      <c r="D144">
        <v>20747</v>
      </c>
      <c r="E144" t="s">
        <v>21</v>
      </c>
      <c r="I144" t="s">
        <v>111</v>
      </c>
      <c r="L144" t="s">
        <v>27</v>
      </c>
      <c r="M144" t="s">
        <v>29</v>
      </c>
      <c r="Q144">
        <f t="shared" si="4"/>
        <v>11</v>
      </c>
      <c r="R144" cm="1">
        <f t="array" ref="R144">CalculateEventMomentumScore(E144, L144, M144, N144, O144, J144)</f>
        <v>0</v>
      </c>
      <c r="S144">
        <f t="shared" si="5"/>
        <v>0</v>
      </c>
    </row>
    <row r="145" spans="1:19" x14ac:dyDescent="0.3">
      <c r="A145" t="s">
        <v>101</v>
      </c>
      <c r="B145" t="s">
        <v>173</v>
      </c>
      <c r="C145">
        <v>622827</v>
      </c>
      <c r="D145">
        <v>32158</v>
      </c>
      <c r="E145" t="s">
        <v>21</v>
      </c>
      <c r="F145" t="s">
        <v>109</v>
      </c>
      <c r="G145" t="s">
        <v>110</v>
      </c>
      <c r="J145" t="s">
        <v>22</v>
      </c>
      <c r="L145" t="s">
        <v>27</v>
      </c>
      <c r="M145" t="s">
        <v>120</v>
      </c>
      <c r="Q145">
        <f t="shared" si="4"/>
        <v>11</v>
      </c>
      <c r="R145" cm="1">
        <f t="array" ref="R145">CalculateEventMomentumScore(E145, L145, M145, N145, O145, J145)</f>
        <v>6</v>
      </c>
      <c r="S145">
        <f t="shared" si="5"/>
        <v>6</v>
      </c>
    </row>
    <row r="146" spans="1:19" x14ac:dyDescent="0.3">
      <c r="A146" t="s">
        <v>65</v>
      </c>
      <c r="B146" t="s">
        <v>173</v>
      </c>
      <c r="C146">
        <v>684689</v>
      </c>
      <c r="D146">
        <v>34293</v>
      </c>
      <c r="E146" t="s">
        <v>21</v>
      </c>
      <c r="K146" t="s">
        <v>117</v>
      </c>
      <c r="L146" t="s">
        <v>23</v>
      </c>
      <c r="M146" t="s">
        <v>24</v>
      </c>
      <c r="Q146">
        <f t="shared" si="4"/>
        <v>12</v>
      </c>
      <c r="R146" cm="1">
        <f t="array" ref="R146">CalculateEventMomentumScore(E146, L146, M146, N146, O146, J146)</f>
        <v>0</v>
      </c>
      <c r="S146">
        <f t="shared" si="5"/>
        <v>6</v>
      </c>
    </row>
    <row r="147" spans="1:19" x14ac:dyDescent="0.3">
      <c r="A147" t="s">
        <v>142</v>
      </c>
      <c r="B147" t="s">
        <v>173</v>
      </c>
      <c r="C147">
        <v>693030</v>
      </c>
      <c r="D147">
        <v>25885</v>
      </c>
      <c r="E147" t="s">
        <v>21</v>
      </c>
      <c r="F147" t="s">
        <v>109</v>
      </c>
      <c r="G147" t="s">
        <v>110</v>
      </c>
      <c r="J147" t="s">
        <v>22</v>
      </c>
      <c r="L147" t="s">
        <v>23</v>
      </c>
      <c r="M147" t="s">
        <v>29</v>
      </c>
      <c r="Q147">
        <f t="shared" si="4"/>
        <v>13</v>
      </c>
      <c r="R147" cm="1">
        <f t="array" ref="R147">CalculateEventMomentumScore(E147, L147, M147, N147, O147, J147)</f>
        <v>0</v>
      </c>
      <c r="S147">
        <f t="shared" si="5"/>
        <v>0</v>
      </c>
    </row>
    <row r="148" spans="1:19" x14ac:dyDescent="0.3">
      <c r="A148" t="s">
        <v>46</v>
      </c>
      <c r="B148" t="s">
        <v>173</v>
      </c>
      <c r="C148">
        <v>716921</v>
      </c>
      <c r="D148">
        <v>23149</v>
      </c>
      <c r="E148" t="s">
        <v>21</v>
      </c>
      <c r="I148" t="s">
        <v>111</v>
      </c>
      <c r="L148" t="s">
        <v>27</v>
      </c>
      <c r="M148" t="s">
        <v>29</v>
      </c>
      <c r="Q148">
        <f t="shared" si="4"/>
        <v>13</v>
      </c>
      <c r="R148" cm="1">
        <f t="array" ref="R148">CalculateEventMomentumScore(E148, L148, M148, N148, O148, J148)</f>
        <v>0</v>
      </c>
      <c r="S148">
        <f t="shared" si="5"/>
        <v>0</v>
      </c>
    </row>
    <row r="149" spans="1:19" x14ac:dyDescent="0.3">
      <c r="A149" t="s">
        <v>73</v>
      </c>
      <c r="B149" t="s">
        <v>173</v>
      </c>
      <c r="C149">
        <v>734138</v>
      </c>
      <c r="D149">
        <v>30000</v>
      </c>
      <c r="E149" t="s">
        <v>21</v>
      </c>
      <c r="F149" t="s">
        <v>109</v>
      </c>
      <c r="J149" t="s">
        <v>22</v>
      </c>
      <c r="L149" t="s">
        <v>23</v>
      </c>
      <c r="M149" t="s">
        <v>24</v>
      </c>
      <c r="Q149">
        <f t="shared" si="4"/>
        <v>13</v>
      </c>
      <c r="R149" cm="1">
        <f t="array" ref="R149">CalculateEventMomentumScore(E149, L149, M149, N149, O149, J149)</f>
        <v>-2</v>
      </c>
      <c r="S149">
        <f t="shared" si="5"/>
        <v>-2</v>
      </c>
    </row>
    <row r="150" spans="1:19" x14ac:dyDescent="0.3">
      <c r="A150" t="s">
        <v>143</v>
      </c>
      <c r="B150" t="s">
        <v>173</v>
      </c>
      <c r="C150">
        <v>746222</v>
      </c>
      <c r="D150">
        <v>18806</v>
      </c>
      <c r="E150" t="s">
        <v>107</v>
      </c>
      <c r="F150" t="s">
        <v>109</v>
      </c>
      <c r="G150" t="s">
        <v>110</v>
      </c>
      <c r="L150" t="s">
        <v>23</v>
      </c>
      <c r="M150" t="s">
        <v>123</v>
      </c>
      <c r="P150" t="s">
        <v>131</v>
      </c>
      <c r="Q150">
        <f t="shared" si="4"/>
        <v>13</v>
      </c>
      <c r="R150" cm="1">
        <f t="array" ref="R150">CalculateEventMomentumScore(E150, L150, M150, N150, O150, J150)</f>
        <v>-10</v>
      </c>
      <c r="S150">
        <f t="shared" si="5"/>
        <v>-12</v>
      </c>
    </row>
    <row r="151" spans="1:19" x14ac:dyDescent="0.3">
      <c r="A151" t="s">
        <v>92</v>
      </c>
      <c r="B151" t="s">
        <v>173</v>
      </c>
      <c r="C151">
        <v>769573</v>
      </c>
      <c r="D151">
        <v>20013</v>
      </c>
      <c r="E151" t="s">
        <v>21</v>
      </c>
      <c r="I151" t="s">
        <v>114</v>
      </c>
      <c r="L151" t="s">
        <v>27</v>
      </c>
      <c r="M151" t="s">
        <v>29</v>
      </c>
      <c r="Q151">
        <f t="shared" si="4"/>
        <v>14</v>
      </c>
      <c r="R151" cm="1">
        <f t="array" ref="R151">CalculateEventMomentumScore(E151, L151, M151, N151, O151, J151)</f>
        <v>0</v>
      </c>
      <c r="S151">
        <f t="shared" si="5"/>
        <v>-10</v>
      </c>
    </row>
    <row r="152" spans="1:19" x14ac:dyDescent="0.3">
      <c r="A152" t="s">
        <v>144</v>
      </c>
      <c r="B152" t="s">
        <v>173</v>
      </c>
      <c r="C152">
        <v>782586</v>
      </c>
      <c r="D152">
        <v>38765</v>
      </c>
      <c r="E152" t="s">
        <v>21</v>
      </c>
      <c r="F152" t="s">
        <v>108</v>
      </c>
      <c r="G152" t="s">
        <v>109</v>
      </c>
      <c r="H152" t="s">
        <v>110</v>
      </c>
      <c r="J152" t="s">
        <v>25</v>
      </c>
      <c r="L152" t="s">
        <v>23</v>
      </c>
      <c r="M152" t="s">
        <v>24</v>
      </c>
      <c r="Q152">
        <f t="shared" si="4"/>
        <v>14</v>
      </c>
      <c r="R152" cm="1">
        <f t="array" ref="R152">CalculateEventMomentumScore(E152, L152, M152, N152, O152, J152)</f>
        <v>-3</v>
      </c>
      <c r="S152">
        <f t="shared" si="5"/>
        <v>-3</v>
      </c>
    </row>
    <row r="153" spans="1:19" x14ac:dyDescent="0.3">
      <c r="A153" t="s">
        <v>135</v>
      </c>
      <c r="B153" t="s">
        <v>173</v>
      </c>
      <c r="C153">
        <v>823961</v>
      </c>
      <c r="D153">
        <v>34694</v>
      </c>
      <c r="E153" t="s">
        <v>28</v>
      </c>
      <c r="I153" t="s">
        <v>114</v>
      </c>
      <c r="L153" t="s">
        <v>27</v>
      </c>
      <c r="M153" t="s">
        <v>119</v>
      </c>
      <c r="Q153">
        <f t="shared" si="4"/>
        <v>15</v>
      </c>
      <c r="R153" cm="1">
        <f t="array" ref="R153">CalculateEventMomentumScore(E153, L153, M153, N153, O153, J153)</f>
        <v>0</v>
      </c>
      <c r="S153">
        <f t="shared" si="5"/>
        <v>-3</v>
      </c>
    </row>
    <row r="154" spans="1:19" x14ac:dyDescent="0.3">
      <c r="A154" t="s">
        <v>145</v>
      </c>
      <c r="B154" t="s">
        <v>173</v>
      </c>
      <c r="C154">
        <v>851460</v>
      </c>
      <c r="D154">
        <v>45767</v>
      </c>
      <c r="E154" t="s">
        <v>107</v>
      </c>
      <c r="F154" t="s">
        <v>108</v>
      </c>
      <c r="G154" t="s">
        <v>109</v>
      </c>
      <c r="H154" t="s">
        <v>110</v>
      </c>
      <c r="L154" t="s">
        <v>23</v>
      </c>
      <c r="M154" t="s">
        <v>26</v>
      </c>
      <c r="P154" t="s">
        <v>174</v>
      </c>
      <c r="Q154">
        <f t="shared" si="4"/>
        <v>15</v>
      </c>
      <c r="R154" cm="1">
        <f t="array" ref="R154">CalculateEventMomentumScore(E154, L154, M154, N154, O154, J154)</f>
        <v>-20</v>
      </c>
      <c r="S154">
        <f t="shared" si="5"/>
        <v>-20</v>
      </c>
    </row>
    <row r="155" spans="1:19" x14ac:dyDescent="0.3">
      <c r="A155" t="s">
        <v>35</v>
      </c>
      <c r="B155" t="s">
        <v>173</v>
      </c>
      <c r="C155">
        <v>854391</v>
      </c>
      <c r="D155">
        <v>15875</v>
      </c>
      <c r="E155" t="s">
        <v>21</v>
      </c>
      <c r="I155" t="s">
        <v>111</v>
      </c>
      <c r="L155" t="s">
        <v>23</v>
      </c>
      <c r="M155" t="s">
        <v>24</v>
      </c>
      <c r="Q155">
        <f t="shared" si="4"/>
        <v>15</v>
      </c>
      <c r="R155" cm="1">
        <f t="array" ref="R155">CalculateEventMomentumScore(E155, L155, M155, N155, O155, J155)</f>
        <v>0</v>
      </c>
      <c r="S155">
        <f t="shared" si="5"/>
        <v>-20</v>
      </c>
    </row>
    <row r="156" spans="1:19" x14ac:dyDescent="0.3">
      <c r="A156" t="s">
        <v>146</v>
      </c>
      <c r="B156" t="s">
        <v>173</v>
      </c>
      <c r="C156">
        <v>1023360</v>
      </c>
      <c r="D156">
        <v>33092</v>
      </c>
      <c r="E156" t="s">
        <v>21</v>
      </c>
      <c r="K156" t="s">
        <v>116</v>
      </c>
      <c r="L156" t="s">
        <v>23</v>
      </c>
      <c r="M156" t="s">
        <v>29</v>
      </c>
      <c r="Q156">
        <f t="shared" si="4"/>
        <v>18</v>
      </c>
      <c r="R156" cm="1">
        <f t="array" ref="R156">CalculateEventMomentumScore(E156, L156, M156, N156, O156, J156)</f>
        <v>0</v>
      </c>
      <c r="S156">
        <f t="shared" si="5"/>
        <v>0</v>
      </c>
    </row>
    <row r="157" spans="1:19" x14ac:dyDescent="0.3">
      <c r="A157" t="s">
        <v>104</v>
      </c>
      <c r="B157" t="s">
        <v>173</v>
      </c>
      <c r="C157">
        <v>1041183</v>
      </c>
      <c r="D157">
        <v>32286</v>
      </c>
      <c r="E157" t="s">
        <v>30</v>
      </c>
      <c r="F157" t="s">
        <v>109</v>
      </c>
      <c r="G157" t="s">
        <v>110</v>
      </c>
      <c r="L157" t="s">
        <v>23</v>
      </c>
      <c r="M157" t="s">
        <v>24</v>
      </c>
      <c r="P157" t="s">
        <v>129</v>
      </c>
      <c r="Q157">
        <f t="shared" si="4"/>
        <v>18</v>
      </c>
      <c r="R157" cm="1">
        <f t="array" ref="R157">CalculateEventMomentumScore(E157, L157, M157, N157, O157, J157)</f>
        <v>-1</v>
      </c>
      <c r="S157">
        <f t="shared" si="5"/>
        <v>-1</v>
      </c>
    </row>
    <row r="158" spans="1:19" x14ac:dyDescent="0.3">
      <c r="A158" t="s">
        <v>61</v>
      </c>
      <c r="B158" t="s">
        <v>173</v>
      </c>
      <c r="C158">
        <v>1074912</v>
      </c>
      <c r="D158">
        <v>25000</v>
      </c>
      <c r="E158" t="s">
        <v>28</v>
      </c>
      <c r="I158" t="s">
        <v>111</v>
      </c>
      <c r="L158" t="s">
        <v>23</v>
      </c>
      <c r="M158" t="s">
        <v>24</v>
      </c>
      <c r="Q158">
        <f t="shared" si="4"/>
        <v>19</v>
      </c>
      <c r="R158" cm="1">
        <f t="array" ref="R158">CalculateEventMomentumScore(E158, L158, M158, N158, O158, J158)</f>
        <v>0</v>
      </c>
      <c r="S158">
        <f t="shared" si="5"/>
        <v>-1</v>
      </c>
    </row>
    <row r="159" spans="1:19" x14ac:dyDescent="0.3">
      <c r="A159" t="s">
        <v>46</v>
      </c>
      <c r="B159" t="s">
        <v>173</v>
      </c>
      <c r="C159">
        <v>1098268</v>
      </c>
      <c r="D159">
        <v>27620</v>
      </c>
      <c r="E159" t="s">
        <v>21</v>
      </c>
      <c r="I159" t="s">
        <v>111</v>
      </c>
      <c r="L159" t="s">
        <v>27</v>
      </c>
      <c r="M159" t="s">
        <v>29</v>
      </c>
      <c r="Q159">
        <f t="shared" si="4"/>
        <v>19</v>
      </c>
      <c r="R159" cm="1">
        <f t="array" ref="R159">CalculateEventMomentumScore(E159, L159, M159, N159, O159, J159)</f>
        <v>0</v>
      </c>
      <c r="S159">
        <f t="shared" si="5"/>
        <v>0</v>
      </c>
    </row>
    <row r="160" spans="1:19" x14ac:dyDescent="0.3">
      <c r="A160" t="s">
        <v>142</v>
      </c>
      <c r="B160" t="s">
        <v>173</v>
      </c>
      <c r="C160">
        <v>1118889</v>
      </c>
      <c r="D160">
        <v>35895</v>
      </c>
      <c r="E160" t="s">
        <v>21</v>
      </c>
      <c r="F160" t="s">
        <v>109</v>
      </c>
      <c r="G160" t="s">
        <v>110</v>
      </c>
      <c r="J160" t="s">
        <v>22</v>
      </c>
      <c r="L160" t="s">
        <v>23</v>
      </c>
      <c r="M160" t="s">
        <v>29</v>
      </c>
      <c r="Q160">
        <f t="shared" si="4"/>
        <v>20</v>
      </c>
      <c r="R160" cm="1">
        <f t="array" ref="R160">CalculateEventMomentumScore(E160, L160, M160, N160, O160, J160)</f>
        <v>0</v>
      </c>
      <c r="S160">
        <f t="shared" si="5"/>
        <v>0</v>
      </c>
    </row>
    <row r="161" spans="1:19" x14ac:dyDescent="0.3">
      <c r="A161" t="s">
        <v>147</v>
      </c>
      <c r="B161" t="s">
        <v>173</v>
      </c>
      <c r="C161">
        <v>1153123</v>
      </c>
      <c r="D161">
        <v>13406</v>
      </c>
      <c r="E161" t="s">
        <v>21</v>
      </c>
      <c r="I161" t="s">
        <v>111</v>
      </c>
      <c r="L161" t="s">
        <v>27</v>
      </c>
      <c r="M161" t="s">
        <v>123</v>
      </c>
      <c r="Q161">
        <f t="shared" si="4"/>
        <v>20</v>
      </c>
      <c r="R161" cm="1">
        <f t="array" ref="R161">CalculateEventMomentumScore(E161, L161, M161, N161, O161, J161)</f>
        <v>10</v>
      </c>
      <c r="S161">
        <f t="shared" si="5"/>
        <v>10</v>
      </c>
    </row>
    <row r="162" spans="1:19" x14ac:dyDescent="0.3">
      <c r="A162" t="s">
        <v>148</v>
      </c>
      <c r="B162" t="s">
        <v>173</v>
      </c>
      <c r="C162">
        <v>1170207</v>
      </c>
      <c r="D162">
        <v>27220</v>
      </c>
      <c r="E162" t="s">
        <v>28</v>
      </c>
      <c r="I162" t="s">
        <v>114</v>
      </c>
      <c r="L162" t="s">
        <v>23</v>
      </c>
      <c r="M162" t="s">
        <v>123</v>
      </c>
      <c r="Q162">
        <f t="shared" si="4"/>
        <v>21</v>
      </c>
      <c r="R162" cm="1">
        <f t="array" ref="R162">CalculateEventMomentumScore(E162, L162, M162, N162, O162, J162)</f>
        <v>-10</v>
      </c>
      <c r="S162">
        <f t="shared" si="5"/>
        <v>0</v>
      </c>
    </row>
    <row r="163" spans="1:19" x14ac:dyDescent="0.3">
      <c r="A163" t="s">
        <v>92</v>
      </c>
      <c r="B163" t="s">
        <v>173</v>
      </c>
      <c r="C163">
        <v>1197701</v>
      </c>
      <c r="D163">
        <v>31824</v>
      </c>
      <c r="E163" t="s">
        <v>21</v>
      </c>
      <c r="I163" t="s">
        <v>114</v>
      </c>
      <c r="L163" t="s">
        <v>27</v>
      </c>
      <c r="M163" t="s">
        <v>29</v>
      </c>
      <c r="Q163">
        <f t="shared" si="4"/>
        <v>21</v>
      </c>
      <c r="R163" cm="1">
        <f t="array" ref="R163">CalculateEventMomentumScore(E163, L163, M163, N163, O163, J163)</f>
        <v>0</v>
      </c>
      <c r="S163">
        <f t="shared" si="5"/>
        <v>-10</v>
      </c>
    </row>
    <row r="164" spans="1:19" x14ac:dyDescent="0.3">
      <c r="A164" t="s">
        <v>73</v>
      </c>
      <c r="B164" t="s">
        <v>173</v>
      </c>
      <c r="C164">
        <v>1222526</v>
      </c>
      <c r="D164">
        <v>33192</v>
      </c>
      <c r="E164" t="s">
        <v>21</v>
      </c>
      <c r="F164" t="s">
        <v>109</v>
      </c>
      <c r="J164" t="s">
        <v>22</v>
      </c>
      <c r="L164" t="s">
        <v>23</v>
      </c>
      <c r="M164" t="s">
        <v>24</v>
      </c>
      <c r="Q164">
        <f t="shared" si="4"/>
        <v>21</v>
      </c>
      <c r="R164" cm="1">
        <f t="array" ref="R164">CalculateEventMomentumScore(E164, L164, M164, N164, O164, J164)</f>
        <v>-2</v>
      </c>
      <c r="S164">
        <f t="shared" si="5"/>
        <v>-2</v>
      </c>
    </row>
    <row r="165" spans="1:19" x14ac:dyDescent="0.3">
      <c r="A165" t="s">
        <v>149</v>
      </c>
      <c r="B165" t="s">
        <v>173</v>
      </c>
      <c r="C165">
        <v>1243719</v>
      </c>
      <c r="D165">
        <v>18272</v>
      </c>
      <c r="E165" t="s">
        <v>107</v>
      </c>
      <c r="L165" t="s">
        <v>27</v>
      </c>
      <c r="M165" t="s">
        <v>29</v>
      </c>
      <c r="P165" t="s">
        <v>175</v>
      </c>
      <c r="Q165">
        <f t="shared" si="4"/>
        <v>22</v>
      </c>
      <c r="R165" cm="1">
        <f t="array" ref="R165">CalculateEventMomentumScore(E165, L165, M165, N165, O165, J165)</f>
        <v>1</v>
      </c>
      <c r="S165">
        <f t="shared" si="5"/>
        <v>-1</v>
      </c>
    </row>
    <row r="166" spans="1:19" x14ac:dyDescent="0.3">
      <c r="A166" t="s">
        <v>150</v>
      </c>
      <c r="B166" t="s">
        <v>173</v>
      </c>
      <c r="C166">
        <v>1254992</v>
      </c>
      <c r="D166">
        <v>34694</v>
      </c>
      <c r="E166" t="s">
        <v>21</v>
      </c>
      <c r="F166" t="s">
        <v>108</v>
      </c>
      <c r="G166" t="s">
        <v>109</v>
      </c>
      <c r="H166" t="s">
        <v>110</v>
      </c>
      <c r="J166" t="s">
        <v>25</v>
      </c>
      <c r="L166" t="s">
        <v>27</v>
      </c>
      <c r="M166" t="s">
        <v>121</v>
      </c>
      <c r="Q166">
        <f t="shared" si="4"/>
        <v>22</v>
      </c>
      <c r="R166" cm="1">
        <f t="array" ref="R166">CalculateEventMomentumScore(E166, L166, M166, N166, O166, J166)</f>
        <v>17</v>
      </c>
      <c r="S166">
        <f t="shared" si="5"/>
        <v>18</v>
      </c>
    </row>
    <row r="167" spans="1:19" x14ac:dyDescent="0.3">
      <c r="A167" t="s">
        <v>151</v>
      </c>
      <c r="B167" t="s">
        <v>173</v>
      </c>
      <c r="C167">
        <v>1282686</v>
      </c>
      <c r="D167">
        <v>50176</v>
      </c>
      <c r="E167" t="s">
        <v>21</v>
      </c>
      <c r="F167" t="s">
        <v>109</v>
      </c>
      <c r="G167" t="s">
        <v>110</v>
      </c>
      <c r="J167" t="s">
        <v>22</v>
      </c>
      <c r="L167" t="s">
        <v>23</v>
      </c>
      <c r="M167" t="s">
        <v>24</v>
      </c>
      <c r="Q167">
        <f t="shared" si="4"/>
        <v>22</v>
      </c>
      <c r="R167" cm="1">
        <f t="array" ref="R167">CalculateEventMomentumScore(E167, L167, M167, N167, O167, J167)</f>
        <v>-2</v>
      </c>
      <c r="S167">
        <f t="shared" si="5"/>
        <v>15</v>
      </c>
    </row>
    <row r="168" spans="1:19" x14ac:dyDescent="0.3">
      <c r="A168" t="s">
        <v>55</v>
      </c>
      <c r="B168" t="s">
        <v>173</v>
      </c>
      <c r="C168">
        <v>1379082</v>
      </c>
      <c r="D168">
        <v>14540</v>
      </c>
      <c r="E168" t="s">
        <v>28</v>
      </c>
      <c r="I168" t="s">
        <v>113</v>
      </c>
      <c r="L168" t="s">
        <v>27</v>
      </c>
      <c r="M168" t="s">
        <v>119</v>
      </c>
      <c r="Q168">
        <f t="shared" si="4"/>
        <v>24</v>
      </c>
      <c r="R168" cm="1">
        <f t="array" ref="R168">CalculateEventMomentumScore(E168, L168, M168, N168, O168, J168)</f>
        <v>0</v>
      </c>
      <c r="S168">
        <f t="shared" si="5"/>
        <v>-2</v>
      </c>
    </row>
    <row r="169" spans="1:19" x14ac:dyDescent="0.3">
      <c r="A169" t="s">
        <v>35</v>
      </c>
      <c r="B169" t="s">
        <v>173</v>
      </c>
      <c r="C169">
        <v>1389559</v>
      </c>
      <c r="D169">
        <v>25952</v>
      </c>
      <c r="E169" t="s">
        <v>21</v>
      </c>
      <c r="I169" t="s">
        <v>111</v>
      </c>
      <c r="L169" t="s">
        <v>23</v>
      </c>
      <c r="M169" t="s">
        <v>24</v>
      </c>
      <c r="Q169">
        <f t="shared" si="4"/>
        <v>24</v>
      </c>
      <c r="R169" cm="1">
        <f t="array" ref="R169">CalculateEventMomentumScore(E169, L169, M169, N169, O169, J169)</f>
        <v>0</v>
      </c>
      <c r="S169">
        <f t="shared" si="5"/>
        <v>0</v>
      </c>
    </row>
    <row r="170" spans="1:19" x14ac:dyDescent="0.3">
      <c r="A170" t="s">
        <v>152</v>
      </c>
      <c r="B170" t="s">
        <v>173</v>
      </c>
      <c r="C170">
        <v>1423126</v>
      </c>
      <c r="D170">
        <v>40900</v>
      </c>
      <c r="E170" t="s">
        <v>28</v>
      </c>
      <c r="I170" t="s">
        <v>114</v>
      </c>
      <c r="L170" t="s">
        <v>23</v>
      </c>
      <c r="M170" t="s">
        <v>24</v>
      </c>
      <c r="Q170">
        <f t="shared" si="4"/>
        <v>25</v>
      </c>
      <c r="R170" cm="1">
        <f t="array" ref="R170">CalculateEventMomentumScore(E170, L170, M170, N170, O170, J170)</f>
        <v>0</v>
      </c>
      <c r="S170">
        <f t="shared" si="5"/>
        <v>0</v>
      </c>
    </row>
    <row r="171" spans="1:19" x14ac:dyDescent="0.3">
      <c r="A171" t="s">
        <v>65</v>
      </c>
      <c r="B171" t="s">
        <v>173</v>
      </c>
      <c r="C171">
        <v>1486790</v>
      </c>
      <c r="D171">
        <v>14140</v>
      </c>
      <c r="E171" t="s">
        <v>21</v>
      </c>
      <c r="K171" t="s">
        <v>117</v>
      </c>
      <c r="L171" t="s">
        <v>23</v>
      </c>
      <c r="M171" t="s">
        <v>24</v>
      </c>
      <c r="Q171">
        <f t="shared" si="4"/>
        <v>26</v>
      </c>
      <c r="R171" cm="1">
        <f t="array" ref="R171">CalculateEventMomentumScore(E171, L171, M171, N171, O171, J171)</f>
        <v>0</v>
      </c>
      <c r="S171">
        <f t="shared" si="5"/>
        <v>0</v>
      </c>
    </row>
    <row r="172" spans="1:19" x14ac:dyDescent="0.3">
      <c r="A172" t="s">
        <v>153</v>
      </c>
      <c r="B172" t="s">
        <v>173</v>
      </c>
      <c r="C172">
        <v>1504708</v>
      </c>
      <c r="D172">
        <v>19545</v>
      </c>
      <c r="E172" t="s">
        <v>28</v>
      </c>
      <c r="I172" t="s">
        <v>114</v>
      </c>
      <c r="L172" t="s">
        <v>27</v>
      </c>
      <c r="M172" t="s">
        <v>24</v>
      </c>
      <c r="Q172">
        <f t="shared" si="4"/>
        <v>26</v>
      </c>
      <c r="R172" cm="1">
        <f t="array" ref="R172">CalculateEventMomentumScore(E172, L172, M172, N172, O172, J172)</f>
        <v>0</v>
      </c>
      <c r="S172">
        <f t="shared" si="5"/>
        <v>0</v>
      </c>
    </row>
    <row r="173" spans="1:19" x14ac:dyDescent="0.3">
      <c r="A173" t="s">
        <v>154</v>
      </c>
      <c r="B173" t="s">
        <v>173</v>
      </c>
      <c r="C173">
        <v>1508850</v>
      </c>
      <c r="D173">
        <v>31419</v>
      </c>
      <c r="E173" t="s">
        <v>30</v>
      </c>
      <c r="F173" t="s">
        <v>110</v>
      </c>
      <c r="L173" t="s">
        <v>27</v>
      </c>
      <c r="M173" t="s">
        <v>122</v>
      </c>
      <c r="P173" t="s">
        <v>124</v>
      </c>
      <c r="Q173">
        <f t="shared" si="4"/>
        <v>26</v>
      </c>
      <c r="R173" cm="1">
        <f t="array" ref="R173">CalculateEventMomentumScore(E173, L173, M173, N173, O173, J173)</f>
        <v>18</v>
      </c>
      <c r="S173">
        <f t="shared" si="5"/>
        <v>18</v>
      </c>
    </row>
    <row r="174" spans="1:19" x14ac:dyDescent="0.3">
      <c r="A174" t="s">
        <v>82</v>
      </c>
      <c r="B174" t="s">
        <v>173</v>
      </c>
      <c r="C174">
        <v>1528270</v>
      </c>
      <c r="D174">
        <v>24412</v>
      </c>
      <c r="E174" t="s">
        <v>30</v>
      </c>
      <c r="F174" t="s">
        <v>109</v>
      </c>
      <c r="G174" t="s">
        <v>110</v>
      </c>
      <c r="L174" t="s">
        <v>27</v>
      </c>
      <c r="M174" t="s">
        <v>121</v>
      </c>
      <c r="P174" t="s">
        <v>129</v>
      </c>
      <c r="Q174">
        <f t="shared" si="4"/>
        <v>26</v>
      </c>
      <c r="R174" cm="1">
        <f t="array" ref="R174">CalculateEventMomentumScore(E174, L174, M174, N174, O174, J174)</f>
        <v>17</v>
      </c>
      <c r="S174">
        <f t="shared" si="5"/>
        <v>35</v>
      </c>
    </row>
    <row r="175" spans="1:19" x14ac:dyDescent="0.3">
      <c r="A175" t="s">
        <v>88</v>
      </c>
      <c r="B175" t="s">
        <v>173</v>
      </c>
      <c r="C175">
        <v>1555091</v>
      </c>
      <c r="D175">
        <v>20146</v>
      </c>
      <c r="E175" t="s">
        <v>28</v>
      </c>
      <c r="F175" t="s">
        <v>108</v>
      </c>
      <c r="I175" t="s">
        <v>112</v>
      </c>
      <c r="J175" t="s">
        <v>25</v>
      </c>
      <c r="L175" t="s">
        <v>27</v>
      </c>
      <c r="M175" t="s">
        <v>24</v>
      </c>
      <c r="Q175">
        <f t="shared" si="4"/>
        <v>27</v>
      </c>
      <c r="R175" cm="1">
        <f t="array" ref="R175">CalculateEventMomentumScore(E175, L175, M175, N175, O175, J175)</f>
        <v>3</v>
      </c>
      <c r="S175">
        <f t="shared" si="5"/>
        <v>20</v>
      </c>
    </row>
    <row r="176" spans="1:19" x14ac:dyDescent="0.3">
      <c r="A176" t="s">
        <v>72</v>
      </c>
      <c r="B176" t="s">
        <v>173</v>
      </c>
      <c r="C176">
        <v>1580517</v>
      </c>
      <c r="D176">
        <v>15742</v>
      </c>
      <c r="E176" t="s">
        <v>28</v>
      </c>
      <c r="I176" t="s">
        <v>111</v>
      </c>
      <c r="L176" t="s">
        <v>27</v>
      </c>
      <c r="M176" t="s">
        <v>29</v>
      </c>
      <c r="Q176">
        <f t="shared" si="4"/>
        <v>27</v>
      </c>
      <c r="R176" cm="1">
        <f t="array" ref="R176">CalculateEventMomentumScore(E176, L176, M176, N176, O176, J176)</f>
        <v>0</v>
      </c>
      <c r="S176">
        <f t="shared" si="5"/>
        <v>3</v>
      </c>
    </row>
    <row r="177" spans="1:19" x14ac:dyDescent="0.3">
      <c r="A177" t="s">
        <v>155</v>
      </c>
      <c r="B177" t="s">
        <v>173</v>
      </c>
      <c r="C177">
        <v>1593330</v>
      </c>
      <c r="D177">
        <v>48908</v>
      </c>
      <c r="E177" t="s">
        <v>21</v>
      </c>
      <c r="G177" t="s">
        <v>109</v>
      </c>
      <c r="H177" t="s">
        <v>110</v>
      </c>
      <c r="I177" t="s">
        <v>112</v>
      </c>
      <c r="J177" t="s">
        <v>25</v>
      </c>
      <c r="L177" t="s">
        <v>23</v>
      </c>
      <c r="M177" t="s">
        <v>24</v>
      </c>
      <c r="Q177">
        <f t="shared" si="4"/>
        <v>28</v>
      </c>
      <c r="R177" cm="1">
        <f t="array" ref="R177">CalculateEventMomentumScore(E177, L177, M177, N177, O177, J177)</f>
        <v>-3</v>
      </c>
      <c r="S177">
        <f t="shared" si="5"/>
        <v>-3</v>
      </c>
    </row>
    <row r="178" spans="1:19" x14ac:dyDescent="0.3">
      <c r="A178" t="s">
        <v>50</v>
      </c>
      <c r="B178" t="s">
        <v>173</v>
      </c>
      <c r="C178">
        <v>1656559</v>
      </c>
      <c r="D178">
        <v>34293</v>
      </c>
      <c r="E178" t="s">
        <v>28</v>
      </c>
      <c r="I178" t="s">
        <v>113</v>
      </c>
      <c r="L178" t="s">
        <v>23</v>
      </c>
      <c r="M178" t="s">
        <v>24</v>
      </c>
      <c r="Q178">
        <f t="shared" si="4"/>
        <v>29</v>
      </c>
      <c r="R178" cm="1">
        <f t="array" ref="R178">CalculateEventMomentumScore(E178, L178, M178, N178, O178, J178)</f>
        <v>0</v>
      </c>
      <c r="S178">
        <f t="shared" si="5"/>
        <v>-3</v>
      </c>
    </row>
    <row r="179" spans="1:19" x14ac:dyDescent="0.3">
      <c r="A179" t="s">
        <v>156</v>
      </c>
      <c r="B179" t="s">
        <v>173</v>
      </c>
      <c r="C179">
        <v>1663066</v>
      </c>
      <c r="D179">
        <v>56449</v>
      </c>
      <c r="E179" t="s">
        <v>28</v>
      </c>
      <c r="F179" t="s">
        <v>108</v>
      </c>
      <c r="G179" t="s">
        <v>109</v>
      </c>
      <c r="H179" t="s">
        <v>110</v>
      </c>
      <c r="J179" t="s">
        <v>25</v>
      </c>
      <c r="L179" t="s">
        <v>23</v>
      </c>
      <c r="M179" t="s">
        <v>121</v>
      </c>
      <c r="Q179">
        <f t="shared" si="4"/>
        <v>29</v>
      </c>
      <c r="R179" cm="1">
        <f t="array" ref="R179">CalculateEventMomentumScore(E179, L179, M179, N179, O179, J179)</f>
        <v>-17</v>
      </c>
      <c r="S179">
        <f t="shared" si="5"/>
        <v>-17</v>
      </c>
    </row>
    <row r="180" spans="1:19" x14ac:dyDescent="0.3">
      <c r="A180" t="s">
        <v>157</v>
      </c>
      <c r="B180" t="s">
        <v>173</v>
      </c>
      <c r="C180">
        <v>1714584</v>
      </c>
      <c r="D180">
        <v>27220</v>
      </c>
      <c r="E180" t="s">
        <v>28</v>
      </c>
      <c r="F180" t="s">
        <v>108</v>
      </c>
      <c r="G180" t="s">
        <v>109</v>
      </c>
      <c r="J180" t="s">
        <v>22</v>
      </c>
      <c r="L180" t="s">
        <v>27</v>
      </c>
      <c r="M180" t="s">
        <v>24</v>
      </c>
      <c r="Q180">
        <f t="shared" si="4"/>
        <v>30</v>
      </c>
      <c r="R180" cm="1">
        <f t="array" ref="R180">CalculateEventMomentumScore(E180, L180, M180, N180, O180, J180)</f>
        <v>2</v>
      </c>
      <c r="S180">
        <f t="shared" si="5"/>
        <v>-15</v>
      </c>
    </row>
    <row r="181" spans="1:19" x14ac:dyDescent="0.3">
      <c r="A181" t="s">
        <v>158</v>
      </c>
      <c r="B181" t="s">
        <v>173</v>
      </c>
      <c r="C181">
        <v>1727001</v>
      </c>
      <c r="D181">
        <v>26014</v>
      </c>
      <c r="E181" t="s">
        <v>30</v>
      </c>
      <c r="F181" t="s">
        <v>108</v>
      </c>
      <c r="L181" t="s">
        <v>23</v>
      </c>
      <c r="M181" t="s">
        <v>24</v>
      </c>
      <c r="P181" t="s">
        <v>125</v>
      </c>
      <c r="Q181">
        <f t="shared" si="4"/>
        <v>30</v>
      </c>
      <c r="R181" cm="1">
        <f t="array" ref="R181">CalculateEventMomentumScore(E181, L181, M181, N181, O181, J181)</f>
        <v>-1</v>
      </c>
      <c r="S181">
        <f t="shared" si="5"/>
        <v>1</v>
      </c>
    </row>
    <row r="182" spans="1:19" x14ac:dyDescent="0.3">
      <c r="A182" t="s">
        <v>77</v>
      </c>
      <c r="B182" t="s">
        <v>173</v>
      </c>
      <c r="C182">
        <v>1741015</v>
      </c>
      <c r="D182">
        <v>27749</v>
      </c>
      <c r="E182" t="s">
        <v>107</v>
      </c>
      <c r="F182" t="s">
        <v>109</v>
      </c>
      <c r="L182" t="s">
        <v>27</v>
      </c>
      <c r="M182" t="s">
        <v>24</v>
      </c>
      <c r="P182" t="s">
        <v>129</v>
      </c>
      <c r="Q182">
        <f t="shared" si="4"/>
        <v>30</v>
      </c>
      <c r="R182" cm="1">
        <f t="array" ref="R182">CalculateEventMomentumScore(E182, L182, M182, N182, O182, J182)</f>
        <v>1</v>
      </c>
      <c r="S182">
        <f t="shared" si="5"/>
        <v>0</v>
      </c>
    </row>
    <row r="183" spans="1:19" x14ac:dyDescent="0.3">
      <c r="A183" t="s">
        <v>141</v>
      </c>
      <c r="B183" t="s">
        <v>173</v>
      </c>
      <c r="C183">
        <v>1766369</v>
      </c>
      <c r="D183">
        <v>17477</v>
      </c>
      <c r="E183" t="s">
        <v>28</v>
      </c>
      <c r="I183" t="s">
        <v>111</v>
      </c>
      <c r="L183" t="s">
        <v>23</v>
      </c>
      <c r="M183" t="s">
        <v>121</v>
      </c>
      <c r="Q183">
        <f t="shared" si="4"/>
        <v>30</v>
      </c>
      <c r="R183" cm="1">
        <f t="array" ref="R183">CalculateEventMomentumScore(E183, L183, M183, N183, O183, J183)</f>
        <v>-17</v>
      </c>
      <c r="S183">
        <f t="shared" si="5"/>
        <v>-16</v>
      </c>
    </row>
    <row r="184" spans="1:19" x14ac:dyDescent="0.3">
      <c r="A184" t="s">
        <v>159</v>
      </c>
      <c r="B184" t="s">
        <v>173</v>
      </c>
      <c r="C184">
        <v>1778181</v>
      </c>
      <c r="D184">
        <v>24150</v>
      </c>
      <c r="E184" t="s">
        <v>21</v>
      </c>
      <c r="F184" t="s">
        <v>108</v>
      </c>
      <c r="G184" t="s">
        <v>109</v>
      </c>
      <c r="H184" t="s">
        <v>110</v>
      </c>
      <c r="I184" t="s">
        <v>112</v>
      </c>
      <c r="J184" t="s">
        <v>25</v>
      </c>
      <c r="L184" t="s">
        <v>23</v>
      </c>
      <c r="M184" t="s">
        <v>24</v>
      </c>
      <c r="Q184">
        <f t="shared" si="4"/>
        <v>31</v>
      </c>
      <c r="R184" cm="1">
        <f t="array" ref="R184">CalculateEventMomentumScore(E184, L184, M184, N184, O184, J184)</f>
        <v>-3</v>
      </c>
      <c r="S184">
        <f t="shared" si="5"/>
        <v>-20</v>
      </c>
    </row>
    <row r="185" spans="1:19" x14ac:dyDescent="0.3">
      <c r="A185" t="s">
        <v>105</v>
      </c>
      <c r="B185" t="s">
        <v>173</v>
      </c>
      <c r="C185">
        <v>1790331</v>
      </c>
      <c r="D185">
        <v>19941</v>
      </c>
      <c r="E185" t="s">
        <v>107</v>
      </c>
      <c r="F185" t="s">
        <v>108</v>
      </c>
      <c r="L185" t="s">
        <v>27</v>
      </c>
      <c r="M185" t="s">
        <v>24</v>
      </c>
      <c r="P185" t="s">
        <v>124</v>
      </c>
      <c r="Q185">
        <f t="shared" si="4"/>
        <v>31</v>
      </c>
      <c r="R185" cm="1">
        <f t="array" ref="R185">CalculateEventMomentumScore(E185, L185, M185, N185, O185, J185)</f>
        <v>1</v>
      </c>
      <c r="S185">
        <f t="shared" si="5"/>
        <v>-2</v>
      </c>
    </row>
    <row r="186" spans="1:19" x14ac:dyDescent="0.3">
      <c r="A186" t="s">
        <v>82</v>
      </c>
      <c r="B186" t="s">
        <v>173</v>
      </c>
      <c r="C186">
        <v>1794135</v>
      </c>
      <c r="D186">
        <v>40428</v>
      </c>
      <c r="E186" t="s">
        <v>30</v>
      </c>
      <c r="F186" t="s">
        <v>109</v>
      </c>
      <c r="G186" t="s">
        <v>110</v>
      </c>
      <c r="L186" t="s">
        <v>27</v>
      </c>
      <c r="M186" t="s">
        <v>121</v>
      </c>
      <c r="P186" t="s">
        <v>131</v>
      </c>
      <c r="Q186">
        <f t="shared" si="4"/>
        <v>31</v>
      </c>
      <c r="R186" cm="1">
        <f t="array" ref="R186">CalculateEventMomentumScore(E186, L186, M186, N186, O186, J186)</f>
        <v>17</v>
      </c>
      <c r="S186">
        <f t="shared" si="5"/>
        <v>18</v>
      </c>
    </row>
    <row r="187" spans="1:19" x14ac:dyDescent="0.3">
      <c r="A187" t="s">
        <v>60</v>
      </c>
      <c r="B187" t="s">
        <v>173</v>
      </c>
      <c r="C187">
        <v>1816724</v>
      </c>
      <c r="D187">
        <v>27815</v>
      </c>
      <c r="E187" t="s">
        <v>107</v>
      </c>
      <c r="F187" t="s">
        <v>108</v>
      </c>
      <c r="G187" t="s">
        <v>109</v>
      </c>
      <c r="L187" t="s">
        <v>27</v>
      </c>
      <c r="M187" t="s">
        <v>24</v>
      </c>
      <c r="P187" t="s">
        <v>124</v>
      </c>
      <c r="Q187">
        <f t="shared" si="4"/>
        <v>31</v>
      </c>
      <c r="R187" cm="1">
        <f t="array" ref="R187">CalculateEventMomentumScore(E187, L187, M187, N187, O187, J187)</f>
        <v>1</v>
      </c>
      <c r="S187">
        <f t="shared" si="5"/>
        <v>18</v>
      </c>
    </row>
    <row r="188" spans="1:19" x14ac:dyDescent="0.3">
      <c r="A188" t="s">
        <v>160</v>
      </c>
      <c r="B188" t="s">
        <v>173</v>
      </c>
      <c r="C188">
        <v>1828203</v>
      </c>
      <c r="D188">
        <v>39227</v>
      </c>
      <c r="E188" t="s">
        <v>30</v>
      </c>
      <c r="F188" t="s">
        <v>108</v>
      </c>
      <c r="G188" t="s">
        <v>109</v>
      </c>
      <c r="H188" t="s">
        <v>110</v>
      </c>
      <c r="L188" t="s">
        <v>23</v>
      </c>
      <c r="M188" t="s">
        <v>24</v>
      </c>
      <c r="P188" t="s">
        <v>125</v>
      </c>
      <c r="Q188">
        <f t="shared" si="4"/>
        <v>31</v>
      </c>
      <c r="R188" cm="1">
        <f t="array" ref="R188">CalculateEventMomentumScore(E188, L188, M188, N188, O188, J188)</f>
        <v>-1</v>
      </c>
      <c r="S188">
        <f t="shared" si="5"/>
        <v>0</v>
      </c>
    </row>
    <row r="189" spans="1:19" x14ac:dyDescent="0.3">
      <c r="A189" t="s">
        <v>103</v>
      </c>
      <c r="B189" t="s">
        <v>173</v>
      </c>
      <c r="C189">
        <v>1855430</v>
      </c>
      <c r="D189">
        <v>24479</v>
      </c>
      <c r="E189" t="s">
        <v>107</v>
      </c>
      <c r="F189" t="s">
        <v>108</v>
      </c>
      <c r="G189" t="s">
        <v>109</v>
      </c>
      <c r="L189" t="s">
        <v>23</v>
      </c>
      <c r="M189" t="s">
        <v>24</v>
      </c>
      <c r="P189" t="s">
        <v>124</v>
      </c>
      <c r="Q189">
        <f t="shared" si="4"/>
        <v>32</v>
      </c>
      <c r="R189" cm="1">
        <f t="array" ref="R189">CalculateEventMomentumScore(E189, L189, M189, N189, O189, J189)</f>
        <v>-1</v>
      </c>
      <c r="S189">
        <f t="shared" si="5"/>
        <v>-2</v>
      </c>
    </row>
    <row r="190" spans="1:19" x14ac:dyDescent="0.3">
      <c r="A190" t="s">
        <v>161</v>
      </c>
      <c r="B190" t="s">
        <v>173</v>
      </c>
      <c r="C190">
        <v>1865740</v>
      </c>
      <c r="D190">
        <v>32954</v>
      </c>
      <c r="E190" t="s">
        <v>30</v>
      </c>
      <c r="F190" t="s">
        <v>110</v>
      </c>
      <c r="L190" t="s">
        <v>27</v>
      </c>
      <c r="M190" t="s">
        <v>31</v>
      </c>
      <c r="P190" t="s">
        <v>124</v>
      </c>
      <c r="Q190">
        <f t="shared" si="4"/>
        <v>32</v>
      </c>
      <c r="R190" cm="1">
        <f t="array" ref="R190">CalculateEventMomentumScore(E190, L190, M190, N190, O190, J190)</f>
        <v>6</v>
      </c>
      <c r="S190">
        <f t="shared" si="5"/>
        <v>5</v>
      </c>
    </row>
    <row r="191" spans="1:19" x14ac:dyDescent="0.3">
      <c r="A191" t="s">
        <v>47</v>
      </c>
      <c r="B191" t="s">
        <v>173</v>
      </c>
      <c r="C191">
        <v>1892228</v>
      </c>
      <c r="D191">
        <v>27687</v>
      </c>
      <c r="E191" t="s">
        <v>21</v>
      </c>
      <c r="F191" t="s">
        <v>109</v>
      </c>
      <c r="J191" t="s">
        <v>115</v>
      </c>
      <c r="L191" t="s">
        <v>23</v>
      </c>
      <c r="M191" t="s">
        <v>24</v>
      </c>
      <c r="Q191">
        <f t="shared" si="4"/>
        <v>33</v>
      </c>
      <c r="R191" cm="1">
        <f t="array" ref="R191">CalculateEventMomentumScore(E191, L191, M191, N191, O191, J191)</f>
        <v>-1</v>
      </c>
      <c r="S191">
        <f t="shared" si="5"/>
        <v>5</v>
      </c>
    </row>
    <row r="192" spans="1:19" x14ac:dyDescent="0.3">
      <c r="A192" t="s">
        <v>162</v>
      </c>
      <c r="B192" t="s">
        <v>173</v>
      </c>
      <c r="C192">
        <v>1906147</v>
      </c>
      <c r="D192">
        <v>19874</v>
      </c>
      <c r="E192" t="s">
        <v>107</v>
      </c>
      <c r="F192" t="s">
        <v>109</v>
      </c>
      <c r="L192" t="s">
        <v>23</v>
      </c>
      <c r="M192" t="s">
        <v>120</v>
      </c>
      <c r="P192" t="s">
        <v>175</v>
      </c>
      <c r="Q192">
        <f t="shared" si="4"/>
        <v>33</v>
      </c>
      <c r="R192" cm="1">
        <f t="array" ref="R192">CalculateEventMomentumScore(E192, L192, M192, N192, O192, J192)</f>
        <v>-6</v>
      </c>
      <c r="S192">
        <f t="shared" si="5"/>
        <v>-7</v>
      </c>
    </row>
    <row r="193" spans="1:19" x14ac:dyDescent="0.3">
      <c r="A193" t="s">
        <v>163</v>
      </c>
      <c r="B193" t="s">
        <v>173</v>
      </c>
      <c r="C193">
        <v>2003906</v>
      </c>
      <c r="D193">
        <v>35962</v>
      </c>
      <c r="E193" t="s">
        <v>28</v>
      </c>
      <c r="K193" t="s">
        <v>118</v>
      </c>
      <c r="L193" t="s">
        <v>23</v>
      </c>
      <c r="M193" t="s">
        <v>119</v>
      </c>
      <c r="Q193">
        <f t="shared" si="4"/>
        <v>34</v>
      </c>
      <c r="R193" cm="1">
        <f t="array" ref="R193">CalculateEventMomentumScore(E193, L193, M193, N193, O193, J193)</f>
        <v>0</v>
      </c>
      <c r="S193">
        <f t="shared" si="5"/>
        <v>-6</v>
      </c>
    </row>
    <row r="194" spans="1:19" x14ac:dyDescent="0.3">
      <c r="A194" t="s">
        <v>58</v>
      </c>
      <c r="B194" t="s">
        <v>173</v>
      </c>
      <c r="C194">
        <v>2037073</v>
      </c>
      <c r="D194">
        <v>44337</v>
      </c>
      <c r="E194" t="s">
        <v>28</v>
      </c>
      <c r="I194" t="s">
        <v>111</v>
      </c>
      <c r="L194" t="s">
        <v>27</v>
      </c>
      <c r="M194" t="s">
        <v>24</v>
      </c>
      <c r="Q194">
        <f t="shared" si="4"/>
        <v>35</v>
      </c>
      <c r="R194" cm="1">
        <f t="array" ref="R194">CalculateEventMomentumScore(E194, L194, M194, N194, O194, J194)</f>
        <v>0</v>
      </c>
      <c r="S194">
        <f t="shared" si="5"/>
        <v>0</v>
      </c>
    </row>
    <row r="195" spans="1:19" x14ac:dyDescent="0.3">
      <c r="A195" t="s">
        <v>158</v>
      </c>
      <c r="B195" t="s">
        <v>173</v>
      </c>
      <c r="C195">
        <v>2068910</v>
      </c>
      <c r="D195">
        <v>22410</v>
      </c>
      <c r="E195" t="s">
        <v>30</v>
      </c>
      <c r="F195" t="s">
        <v>108</v>
      </c>
      <c r="L195" t="s">
        <v>23</v>
      </c>
      <c r="M195" t="s">
        <v>24</v>
      </c>
      <c r="P195" t="s">
        <v>176</v>
      </c>
      <c r="Q195">
        <f t="shared" ref="Q195:Q225" si="6">ROUND(C195/60000, 0)+1</f>
        <v>35</v>
      </c>
      <c r="R195" cm="1">
        <f t="array" ref="R195">CalculateEventMomentumScore(E195, L195, M195, N195, O195, J195)</f>
        <v>-1</v>
      </c>
      <c r="S195">
        <f t="shared" si="5"/>
        <v>-1</v>
      </c>
    </row>
    <row r="196" spans="1:19" x14ac:dyDescent="0.3">
      <c r="A196" t="s">
        <v>93</v>
      </c>
      <c r="B196" t="s">
        <v>173</v>
      </c>
      <c r="C196">
        <v>2079320</v>
      </c>
      <c r="D196">
        <v>55376</v>
      </c>
      <c r="E196" t="s">
        <v>107</v>
      </c>
      <c r="F196" t="s">
        <v>109</v>
      </c>
      <c r="G196" t="s">
        <v>110</v>
      </c>
      <c r="L196" t="s">
        <v>27</v>
      </c>
      <c r="M196" t="s">
        <v>24</v>
      </c>
      <c r="P196" t="s">
        <v>129</v>
      </c>
      <c r="Q196">
        <f t="shared" si="6"/>
        <v>36</v>
      </c>
      <c r="R196" cm="1">
        <f t="array" ref="R196">CalculateEventMomentumScore(E196, L196, M196, N196, O196, J196)</f>
        <v>1</v>
      </c>
      <c r="S196">
        <f t="shared" ref="S196:S225" si="7">R195+R196</f>
        <v>0</v>
      </c>
    </row>
    <row r="197" spans="1:19" x14ac:dyDescent="0.3">
      <c r="A197" t="s">
        <v>81</v>
      </c>
      <c r="B197" t="s">
        <v>173</v>
      </c>
      <c r="C197">
        <v>2128164</v>
      </c>
      <c r="D197">
        <v>30757</v>
      </c>
      <c r="E197" t="s">
        <v>28</v>
      </c>
      <c r="F197" t="s">
        <v>109</v>
      </c>
      <c r="J197" t="s">
        <v>22</v>
      </c>
      <c r="L197" t="s">
        <v>27</v>
      </c>
      <c r="M197" t="s">
        <v>24</v>
      </c>
      <c r="Q197">
        <f t="shared" si="6"/>
        <v>36</v>
      </c>
      <c r="R197" cm="1">
        <f t="array" ref="R197">CalculateEventMomentumScore(E197, L197, M197, N197, O197, J197)</f>
        <v>2</v>
      </c>
      <c r="S197">
        <f t="shared" si="7"/>
        <v>3</v>
      </c>
    </row>
    <row r="198" spans="1:19" x14ac:dyDescent="0.3">
      <c r="A198" t="s">
        <v>160</v>
      </c>
      <c r="B198" t="s">
        <v>173</v>
      </c>
      <c r="C198">
        <v>2144018</v>
      </c>
      <c r="D198">
        <v>23745</v>
      </c>
      <c r="E198" t="s">
        <v>30</v>
      </c>
      <c r="F198" t="s">
        <v>108</v>
      </c>
      <c r="G198" t="s">
        <v>109</v>
      </c>
      <c r="H198" t="s">
        <v>110</v>
      </c>
      <c r="L198" t="s">
        <v>23</v>
      </c>
      <c r="M198" t="s">
        <v>24</v>
      </c>
      <c r="P198" t="s">
        <v>125</v>
      </c>
      <c r="Q198">
        <f t="shared" si="6"/>
        <v>37</v>
      </c>
      <c r="R198" cm="1">
        <f t="array" ref="R198">CalculateEventMomentumScore(E198, L198, M198, N198, O198, J198)</f>
        <v>-1</v>
      </c>
      <c r="S198">
        <f t="shared" si="7"/>
        <v>1</v>
      </c>
    </row>
    <row r="199" spans="1:19" x14ac:dyDescent="0.3">
      <c r="A199" t="s">
        <v>164</v>
      </c>
      <c r="B199" t="s">
        <v>173</v>
      </c>
      <c r="C199">
        <v>2155763</v>
      </c>
      <c r="D199">
        <v>30485</v>
      </c>
      <c r="E199" t="s">
        <v>107</v>
      </c>
      <c r="F199" t="s">
        <v>108</v>
      </c>
      <c r="G199" t="s">
        <v>109</v>
      </c>
      <c r="H199" t="s">
        <v>110</v>
      </c>
      <c r="L199" t="s">
        <v>27</v>
      </c>
      <c r="M199" t="s">
        <v>24</v>
      </c>
      <c r="P199" t="s">
        <v>124</v>
      </c>
      <c r="Q199">
        <f t="shared" si="6"/>
        <v>37</v>
      </c>
      <c r="R199" cm="1">
        <f t="array" ref="R199">CalculateEventMomentumScore(E199, L199, M199, N199, O199, J199)</f>
        <v>1</v>
      </c>
      <c r="S199">
        <f t="shared" si="7"/>
        <v>0</v>
      </c>
    </row>
    <row r="200" spans="1:19" x14ac:dyDescent="0.3">
      <c r="A200" t="s">
        <v>165</v>
      </c>
      <c r="B200" t="s">
        <v>173</v>
      </c>
      <c r="C200">
        <v>2180249</v>
      </c>
      <c r="D200">
        <v>29222</v>
      </c>
      <c r="E200" t="s">
        <v>28</v>
      </c>
      <c r="F200" t="s">
        <v>109</v>
      </c>
      <c r="G200" t="s">
        <v>110</v>
      </c>
      <c r="J200" t="s">
        <v>115</v>
      </c>
      <c r="L200" t="s">
        <v>23</v>
      </c>
      <c r="M200" t="s">
        <v>120</v>
      </c>
      <c r="Q200">
        <f t="shared" si="6"/>
        <v>37</v>
      </c>
      <c r="R200" cm="1">
        <f t="array" ref="R200">CalculateEventMomentumScore(E200, L200, M200, N200, O200, J200)</f>
        <v>-6</v>
      </c>
      <c r="S200">
        <f t="shared" si="7"/>
        <v>-5</v>
      </c>
    </row>
    <row r="201" spans="1:19" x14ac:dyDescent="0.3">
      <c r="A201" t="s">
        <v>166</v>
      </c>
      <c r="B201" t="s">
        <v>173</v>
      </c>
      <c r="C201">
        <v>2261897</v>
      </c>
      <c r="D201">
        <v>21814</v>
      </c>
      <c r="E201" t="s">
        <v>28</v>
      </c>
      <c r="K201" t="s">
        <v>118</v>
      </c>
      <c r="L201" t="s">
        <v>23</v>
      </c>
      <c r="M201" t="s">
        <v>31</v>
      </c>
      <c r="Q201">
        <f t="shared" si="6"/>
        <v>39</v>
      </c>
      <c r="R201" cm="1">
        <f t="array" ref="R201">CalculateEventMomentumScore(E201, L201, M201, N201, O201, J201)</f>
        <v>-6</v>
      </c>
      <c r="S201">
        <f t="shared" si="7"/>
        <v>-12</v>
      </c>
    </row>
    <row r="202" spans="1:19" x14ac:dyDescent="0.3">
      <c r="A202" t="s">
        <v>167</v>
      </c>
      <c r="B202" t="s">
        <v>173</v>
      </c>
      <c r="C202">
        <v>2278314</v>
      </c>
      <c r="D202">
        <v>53846</v>
      </c>
      <c r="E202" t="s">
        <v>28</v>
      </c>
      <c r="F202" t="s">
        <v>108</v>
      </c>
      <c r="G202" t="s">
        <v>109</v>
      </c>
      <c r="J202" t="s">
        <v>25</v>
      </c>
      <c r="L202" t="s">
        <v>27</v>
      </c>
      <c r="M202" t="s">
        <v>29</v>
      </c>
      <c r="Q202">
        <f t="shared" si="6"/>
        <v>39</v>
      </c>
      <c r="R202" cm="1">
        <f t="array" ref="R202">CalculateEventMomentumScore(E202, L202, M202, N202, O202, J202)</f>
        <v>3</v>
      </c>
      <c r="S202">
        <f t="shared" si="7"/>
        <v>-3</v>
      </c>
    </row>
    <row r="203" spans="1:19" x14ac:dyDescent="0.3">
      <c r="A203" t="s">
        <v>74</v>
      </c>
      <c r="B203" t="s">
        <v>173</v>
      </c>
      <c r="C203">
        <v>2331567</v>
      </c>
      <c r="D203">
        <v>15942</v>
      </c>
      <c r="E203" t="s">
        <v>21</v>
      </c>
      <c r="I203" t="s">
        <v>111</v>
      </c>
      <c r="L203" t="s">
        <v>23</v>
      </c>
      <c r="M203" t="s">
        <v>119</v>
      </c>
      <c r="Q203">
        <f t="shared" si="6"/>
        <v>40</v>
      </c>
      <c r="R203" cm="1">
        <f t="array" ref="R203">CalculateEventMomentumScore(E203, L203, M203, N203, O203, J203)</f>
        <v>0</v>
      </c>
      <c r="S203">
        <f t="shared" si="7"/>
        <v>3</v>
      </c>
    </row>
    <row r="204" spans="1:19" x14ac:dyDescent="0.3">
      <c r="A204" t="s">
        <v>68</v>
      </c>
      <c r="B204" t="s">
        <v>173</v>
      </c>
      <c r="C204">
        <v>2345781</v>
      </c>
      <c r="D204">
        <v>25885</v>
      </c>
      <c r="E204" t="s">
        <v>28</v>
      </c>
      <c r="I204" t="s">
        <v>111</v>
      </c>
      <c r="L204" t="s">
        <v>27</v>
      </c>
      <c r="M204" t="s">
        <v>119</v>
      </c>
      <c r="Q204">
        <f t="shared" si="6"/>
        <v>40</v>
      </c>
      <c r="R204" cm="1">
        <f t="array" ref="R204">CalculateEventMomentumScore(E204, L204, M204, N204, O204, J204)</f>
        <v>0</v>
      </c>
      <c r="S204">
        <f t="shared" si="7"/>
        <v>0</v>
      </c>
    </row>
    <row r="205" spans="1:19" x14ac:dyDescent="0.3">
      <c r="A205" t="s">
        <v>70</v>
      </c>
      <c r="B205" t="s">
        <v>173</v>
      </c>
      <c r="C205">
        <v>2377113</v>
      </c>
      <c r="D205">
        <v>45371</v>
      </c>
      <c r="E205" t="s">
        <v>21</v>
      </c>
      <c r="I205" t="s">
        <v>113</v>
      </c>
      <c r="L205" t="s">
        <v>27</v>
      </c>
      <c r="M205" t="s">
        <v>29</v>
      </c>
      <c r="Q205">
        <f t="shared" si="6"/>
        <v>41</v>
      </c>
      <c r="R205" cm="1">
        <f t="array" ref="R205">CalculateEventMomentumScore(E205, L205, M205, N205, O205, J205)</f>
        <v>0</v>
      </c>
      <c r="S205">
        <f t="shared" si="7"/>
        <v>0</v>
      </c>
    </row>
    <row r="206" spans="1:19" x14ac:dyDescent="0.3">
      <c r="A206" t="s">
        <v>168</v>
      </c>
      <c r="B206" t="s">
        <v>173</v>
      </c>
      <c r="C206">
        <v>2408416</v>
      </c>
      <c r="D206">
        <v>41162</v>
      </c>
      <c r="E206" t="s">
        <v>107</v>
      </c>
      <c r="F206" t="s">
        <v>109</v>
      </c>
      <c r="G206" t="s">
        <v>110</v>
      </c>
      <c r="L206" t="s">
        <v>23</v>
      </c>
      <c r="M206" t="s">
        <v>31</v>
      </c>
      <c r="P206" t="s">
        <v>131</v>
      </c>
      <c r="Q206">
        <f t="shared" si="6"/>
        <v>41</v>
      </c>
      <c r="R206" cm="1">
        <f t="array" ref="R206">CalculateEventMomentumScore(E206, L206, M206, N206, O206, J206)</f>
        <v>-6</v>
      </c>
      <c r="S206">
        <f t="shared" si="7"/>
        <v>-6</v>
      </c>
    </row>
    <row r="207" spans="1:19" x14ac:dyDescent="0.3">
      <c r="A207" t="s">
        <v>169</v>
      </c>
      <c r="B207" t="s">
        <v>173</v>
      </c>
      <c r="C207">
        <v>2436243</v>
      </c>
      <c r="D207">
        <v>37025</v>
      </c>
      <c r="E207" t="s">
        <v>30</v>
      </c>
      <c r="F207" t="s">
        <v>108</v>
      </c>
      <c r="G207" t="s">
        <v>109</v>
      </c>
      <c r="L207" t="s">
        <v>23</v>
      </c>
      <c r="M207" t="s">
        <v>24</v>
      </c>
      <c r="P207" t="s">
        <v>125</v>
      </c>
      <c r="Q207">
        <f t="shared" si="6"/>
        <v>42</v>
      </c>
      <c r="R207" cm="1">
        <f t="array" ref="R207">CalculateEventMomentumScore(E207, L207, M207, N207, O207, J207)</f>
        <v>-1</v>
      </c>
      <c r="S207">
        <f t="shared" si="7"/>
        <v>-7</v>
      </c>
    </row>
    <row r="208" spans="1:19" x14ac:dyDescent="0.3">
      <c r="A208" t="s">
        <v>88</v>
      </c>
      <c r="B208" t="s">
        <v>173</v>
      </c>
      <c r="C208">
        <v>2468037</v>
      </c>
      <c r="D208">
        <v>23349</v>
      </c>
      <c r="E208" t="s">
        <v>28</v>
      </c>
      <c r="F208" t="s">
        <v>108</v>
      </c>
      <c r="I208" t="s">
        <v>112</v>
      </c>
      <c r="J208" t="s">
        <v>25</v>
      </c>
      <c r="L208" t="s">
        <v>27</v>
      </c>
      <c r="M208" t="s">
        <v>24</v>
      </c>
      <c r="Q208">
        <f t="shared" si="6"/>
        <v>42</v>
      </c>
      <c r="R208" cm="1">
        <f t="array" ref="R208">CalculateEventMomentumScore(E208, L208, M208, N208, O208, J208)</f>
        <v>3</v>
      </c>
      <c r="S208">
        <f t="shared" si="7"/>
        <v>2</v>
      </c>
    </row>
    <row r="209" spans="1:19" x14ac:dyDescent="0.3">
      <c r="A209" t="s">
        <v>72</v>
      </c>
      <c r="B209" t="s">
        <v>173</v>
      </c>
      <c r="C209">
        <v>2500536</v>
      </c>
      <c r="D209">
        <v>18611</v>
      </c>
      <c r="E209" t="s">
        <v>28</v>
      </c>
      <c r="I209" t="s">
        <v>111</v>
      </c>
      <c r="L209" t="s">
        <v>27</v>
      </c>
      <c r="M209" t="s">
        <v>29</v>
      </c>
      <c r="Q209">
        <f t="shared" si="6"/>
        <v>43</v>
      </c>
      <c r="R209" cm="1">
        <f t="array" ref="R209">CalculateEventMomentumScore(E209, L209, M209, N209, O209, J209)</f>
        <v>0</v>
      </c>
      <c r="S209">
        <f t="shared" si="7"/>
        <v>3</v>
      </c>
    </row>
    <row r="210" spans="1:19" x14ac:dyDescent="0.3">
      <c r="A210" t="s">
        <v>104</v>
      </c>
      <c r="B210" t="s">
        <v>173</v>
      </c>
      <c r="C210">
        <v>2505579</v>
      </c>
      <c r="D210">
        <v>30485</v>
      </c>
      <c r="E210" t="s">
        <v>30</v>
      </c>
      <c r="F210" t="s">
        <v>109</v>
      </c>
      <c r="G210" t="s">
        <v>110</v>
      </c>
      <c r="L210" t="s">
        <v>23</v>
      </c>
      <c r="M210" t="s">
        <v>24</v>
      </c>
      <c r="P210" t="s">
        <v>129</v>
      </c>
      <c r="Q210">
        <f t="shared" si="6"/>
        <v>43</v>
      </c>
      <c r="R210" cm="1">
        <f t="array" ref="R210">CalculateEventMomentumScore(E210, L210, M210, N210, O210, J210)</f>
        <v>-1</v>
      </c>
      <c r="S210">
        <f t="shared" si="7"/>
        <v>-1</v>
      </c>
    </row>
    <row r="211" spans="1:19" x14ac:dyDescent="0.3">
      <c r="A211" t="s">
        <v>60</v>
      </c>
      <c r="B211" t="s">
        <v>173</v>
      </c>
      <c r="C211">
        <v>2524064</v>
      </c>
      <c r="D211">
        <v>18740</v>
      </c>
      <c r="E211" t="s">
        <v>107</v>
      </c>
      <c r="F211" t="s">
        <v>108</v>
      </c>
      <c r="G211" t="s">
        <v>109</v>
      </c>
      <c r="L211" t="s">
        <v>27</v>
      </c>
      <c r="M211" t="s">
        <v>24</v>
      </c>
      <c r="P211" t="s">
        <v>125</v>
      </c>
      <c r="Q211">
        <f t="shared" si="6"/>
        <v>43</v>
      </c>
      <c r="R211" cm="1">
        <f t="array" ref="R211">CalculateEventMomentumScore(E211, L211, M211, N211, O211, J211)</f>
        <v>1</v>
      </c>
      <c r="S211">
        <f t="shared" si="7"/>
        <v>0</v>
      </c>
    </row>
    <row r="212" spans="1:19" x14ac:dyDescent="0.3">
      <c r="A212" t="s">
        <v>98</v>
      </c>
      <c r="B212" t="s">
        <v>173</v>
      </c>
      <c r="C212">
        <v>2530804</v>
      </c>
      <c r="D212">
        <v>23344</v>
      </c>
      <c r="E212" t="s">
        <v>30</v>
      </c>
      <c r="F212" t="s">
        <v>109</v>
      </c>
      <c r="L212" t="s">
        <v>23</v>
      </c>
      <c r="M212" t="s">
        <v>24</v>
      </c>
      <c r="P212" t="s">
        <v>129</v>
      </c>
      <c r="Q212">
        <f t="shared" si="6"/>
        <v>43</v>
      </c>
      <c r="R212" cm="1">
        <f t="array" ref="R212">CalculateEventMomentumScore(E212, L212, M212, N212, O212, J212)</f>
        <v>-1</v>
      </c>
      <c r="S212">
        <f t="shared" si="7"/>
        <v>0</v>
      </c>
    </row>
    <row r="213" spans="1:19" x14ac:dyDescent="0.3">
      <c r="A213" t="s">
        <v>69</v>
      </c>
      <c r="B213" t="s">
        <v>173</v>
      </c>
      <c r="C213">
        <v>2542149</v>
      </c>
      <c r="D213">
        <v>19340</v>
      </c>
      <c r="E213" t="s">
        <v>107</v>
      </c>
      <c r="F213" t="s">
        <v>109</v>
      </c>
      <c r="L213" t="s">
        <v>27</v>
      </c>
      <c r="M213" t="s">
        <v>29</v>
      </c>
      <c r="P213" t="s">
        <v>175</v>
      </c>
      <c r="Q213">
        <f t="shared" si="6"/>
        <v>43</v>
      </c>
      <c r="R213" cm="1">
        <f t="array" ref="R213">CalculateEventMomentumScore(E213, L213, M213, N213, O213, J213)</f>
        <v>1</v>
      </c>
      <c r="S213">
        <f t="shared" si="7"/>
        <v>0</v>
      </c>
    </row>
    <row r="214" spans="1:19" x14ac:dyDescent="0.3">
      <c r="A214" t="s">
        <v>71</v>
      </c>
      <c r="B214" t="s">
        <v>173</v>
      </c>
      <c r="C214">
        <v>2554490</v>
      </c>
      <c r="D214">
        <v>37897</v>
      </c>
      <c r="E214" t="s">
        <v>21</v>
      </c>
      <c r="F214" t="s">
        <v>108</v>
      </c>
      <c r="G214" t="s">
        <v>109</v>
      </c>
      <c r="J214" t="s">
        <v>25</v>
      </c>
      <c r="L214" t="s">
        <v>23</v>
      </c>
      <c r="M214" t="s">
        <v>24</v>
      </c>
      <c r="Q214">
        <f t="shared" si="6"/>
        <v>44</v>
      </c>
      <c r="R214" cm="1">
        <f t="array" ref="R214">CalculateEventMomentumScore(E214, L214, M214, N214, O214, J214)</f>
        <v>-3</v>
      </c>
      <c r="S214">
        <f t="shared" si="7"/>
        <v>-2</v>
      </c>
    </row>
    <row r="215" spans="1:19" x14ac:dyDescent="0.3">
      <c r="A215" t="s">
        <v>105</v>
      </c>
      <c r="B215" t="s">
        <v>173</v>
      </c>
      <c r="C215">
        <v>2575249</v>
      </c>
      <c r="D215">
        <v>25880</v>
      </c>
      <c r="E215" t="s">
        <v>107</v>
      </c>
      <c r="F215" t="s">
        <v>108</v>
      </c>
      <c r="L215" t="s">
        <v>27</v>
      </c>
      <c r="M215" t="s">
        <v>24</v>
      </c>
      <c r="P215" t="s">
        <v>124</v>
      </c>
      <c r="Q215">
        <f t="shared" si="6"/>
        <v>44</v>
      </c>
      <c r="R215" cm="1">
        <f t="array" ref="R215">CalculateEventMomentumScore(E215, L215, M215, N215, O215, J215)</f>
        <v>1</v>
      </c>
      <c r="S215">
        <f t="shared" si="7"/>
        <v>-2</v>
      </c>
    </row>
    <row r="216" spans="1:19" x14ac:dyDescent="0.3">
      <c r="A216" t="s">
        <v>138</v>
      </c>
      <c r="B216" t="s">
        <v>173</v>
      </c>
      <c r="C216">
        <v>2591699</v>
      </c>
      <c r="D216">
        <v>56110</v>
      </c>
      <c r="E216" t="s">
        <v>107</v>
      </c>
      <c r="F216" t="s">
        <v>108</v>
      </c>
      <c r="G216" t="s">
        <v>109</v>
      </c>
      <c r="H216" t="s">
        <v>110</v>
      </c>
      <c r="L216" t="s">
        <v>23</v>
      </c>
      <c r="M216" t="s">
        <v>123</v>
      </c>
      <c r="P216" t="s">
        <v>174</v>
      </c>
      <c r="Q216">
        <f t="shared" si="6"/>
        <v>44</v>
      </c>
      <c r="R216" cm="1">
        <f t="array" ref="R216">CalculateEventMomentumScore(E216, L216, M216, N216, O216, J216)</f>
        <v>-10</v>
      </c>
      <c r="S216">
        <f t="shared" si="7"/>
        <v>-9</v>
      </c>
    </row>
    <row r="217" spans="1:19" x14ac:dyDescent="0.3">
      <c r="A217" t="s">
        <v>76</v>
      </c>
      <c r="B217" t="s">
        <v>173</v>
      </c>
      <c r="C217">
        <v>2649151</v>
      </c>
      <c r="D217">
        <v>22148</v>
      </c>
      <c r="E217" t="s">
        <v>21</v>
      </c>
      <c r="I217" t="s">
        <v>114</v>
      </c>
      <c r="L217" t="s">
        <v>23</v>
      </c>
      <c r="M217" t="s">
        <v>24</v>
      </c>
      <c r="Q217">
        <f t="shared" si="6"/>
        <v>45</v>
      </c>
      <c r="R217" cm="1">
        <f t="array" ref="R217">CalculateEventMomentumScore(E217, L217, M217, N217, O217, J217)</f>
        <v>0</v>
      </c>
      <c r="S217">
        <f t="shared" si="7"/>
        <v>-10</v>
      </c>
    </row>
    <row r="218" spans="1:19" x14ac:dyDescent="0.3">
      <c r="A218" t="s">
        <v>170</v>
      </c>
      <c r="B218" t="s">
        <v>173</v>
      </c>
      <c r="C218">
        <v>2666268</v>
      </c>
      <c r="D218">
        <v>34360</v>
      </c>
      <c r="E218" t="s">
        <v>28</v>
      </c>
      <c r="F218" t="s">
        <v>108</v>
      </c>
      <c r="G218" t="s">
        <v>109</v>
      </c>
      <c r="H218" t="s">
        <v>110</v>
      </c>
      <c r="J218" t="s">
        <v>25</v>
      </c>
      <c r="L218" t="s">
        <v>27</v>
      </c>
      <c r="M218" t="s">
        <v>24</v>
      </c>
      <c r="Q218">
        <f t="shared" si="6"/>
        <v>45</v>
      </c>
      <c r="R218" cm="1">
        <f t="array" ref="R218">CalculateEventMomentumScore(E218, L218, M218, N218, O218, J218)</f>
        <v>3</v>
      </c>
      <c r="S218">
        <f t="shared" si="7"/>
        <v>3</v>
      </c>
    </row>
    <row r="219" spans="1:19" x14ac:dyDescent="0.3">
      <c r="A219" t="s">
        <v>61</v>
      </c>
      <c r="B219" t="s">
        <v>173</v>
      </c>
      <c r="C219">
        <v>2702371</v>
      </c>
      <c r="D219">
        <v>19479</v>
      </c>
      <c r="E219" t="s">
        <v>28</v>
      </c>
      <c r="I219" t="s">
        <v>111</v>
      </c>
      <c r="L219" t="s">
        <v>23</v>
      </c>
      <c r="M219" t="s">
        <v>24</v>
      </c>
      <c r="Q219">
        <f t="shared" si="6"/>
        <v>46</v>
      </c>
      <c r="R219" cm="1">
        <f t="array" ref="R219">CalculateEventMomentumScore(E219, L219, M219, N219, O219, J219)</f>
        <v>0</v>
      </c>
      <c r="S219">
        <f t="shared" si="7"/>
        <v>3</v>
      </c>
    </row>
    <row r="220" spans="1:19" x14ac:dyDescent="0.3">
      <c r="A220" t="s">
        <v>171</v>
      </c>
      <c r="B220" t="s">
        <v>173</v>
      </c>
      <c r="C220">
        <v>2714850</v>
      </c>
      <c r="D220">
        <v>28221</v>
      </c>
      <c r="E220" t="s">
        <v>28</v>
      </c>
      <c r="F220" t="s">
        <v>109</v>
      </c>
      <c r="G220" t="s">
        <v>110</v>
      </c>
      <c r="J220" t="s">
        <v>22</v>
      </c>
      <c r="L220" t="s">
        <v>23</v>
      </c>
      <c r="M220" t="s">
        <v>122</v>
      </c>
      <c r="Q220">
        <f t="shared" si="6"/>
        <v>46</v>
      </c>
      <c r="R220" cm="1">
        <f t="array" ref="R220">CalculateEventMomentumScore(E220, L220, M220, N220, O220, J220)</f>
        <v>-18</v>
      </c>
      <c r="S220">
        <f t="shared" si="7"/>
        <v>-18</v>
      </c>
    </row>
    <row r="221" spans="1:19" x14ac:dyDescent="0.3">
      <c r="A221" t="s">
        <v>35</v>
      </c>
      <c r="B221" t="s">
        <v>173</v>
      </c>
      <c r="C221">
        <v>2745013</v>
      </c>
      <c r="D221">
        <v>18411</v>
      </c>
      <c r="E221" t="s">
        <v>21</v>
      </c>
      <c r="I221" t="s">
        <v>111</v>
      </c>
      <c r="L221" t="s">
        <v>23</v>
      </c>
      <c r="M221" t="s">
        <v>24</v>
      </c>
      <c r="Q221">
        <f t="shared" si="6"/>
        <v>47</v>
      </c>
      <c r="R221" cm="1">
        <f t="array" ref="R221">CalculateEventMomentumScore(E221, L221, M221, N221, O221, J221)</f>
        <v>0</v>
      </c>
      <c r="S221">
        <f t="shared" si="7"/>
        <v>-18</v>
      </c>
    </row>
    <row r="222" spans="1:19" x14ac:dyDescent="0.3">
      <c r="A222" t="s">
        <v>69</v>
      </c>
      <c r="B222" t="s">
        <v>173</v>
      </c>
      <c r="C222">
        <v>2749456</v>
      </c>
      <c r="D222">
        <v>17138</v>
      </c>
      <c r="E222" t="s">
        <v>107</v>
      </c>
      <c r="F222" t="s">
        <v>109</v>
      </c>
      <c r="L222" t="s">
        <v>27</v>
      </c>
      <c r="M222" t="s">
        <v>29</v>
      </c>
      <c r="P222" t="s">
        <v>129</v>
      </c>
      <c r="Q222">
        <f t="shared" si="6"/>
        <v>47</v>
      </c>
      <c r="R222" cm="1">
        <f t="array" ref="R222">CalculateEventMomentumScore(E222, L222, M222, N222, O222, J222)</f>
        <v>1</v>
      </c>
      <c r="S222">
        <f t="shared" si="7"/>
        <v>1</v>
      </c>
    </row>
    <row r="223" spans="1:19" x14ac:dyDescent="0.3">
      <c r="A223" t="s">
        <v>35</v>
      </c>
      <c r="B223" t="s">
        <v>173</v>
      </c>
      <c r="C223">
        <v>2766435</v>
      </c>
      <c r="D223">
        <v>15074</v>
      </c>
      <c r="E223" t="s">
        <v>21</v>
      </c>
      <c r="I223" t="s">
        <v>111</v>
      </c>
      <c r="L223" t="s">
        <v>23</v>
      </c>
      <c r="M223" t="s">
        <v>24</v>
      </c>
      <c r="Q223">
        <f t="shared" si="6"/>
        <v>47</v>
      </c>
      <c r="R223" cm="1">
        <f t="array" ref="R223">CalculateEventMomentumScore(E223, L223, M223, N223, O223, J223)</f>
        <v>0</v>
      </c>
      <c r="S223">
        <f t="shared" si="7"/>
        <v>1</v>
      </c>
    </row>
    <row r="224" spans="1:19" x14ac:dyDescent="0.3">
      <c r="A224" t="s">
        <v>77</v>
      </c>
      <c r="B224" t="s">
        <v>173</v>
      </c>
      <c r="C224">
        <v>2768342</v>
      </c>
      <c r="D224">
        <v>19140</v>
      </c>
      <c r="E224" t="s">
        <v>107</v>
      </c>
      <c r="F224" t="s">
        <v>109</v>
      </c>
      <c r="L224" t="s">
        <v>27</v>
      </c>
      <c r="M224" t="s">
        <v>24</v>
      </c>
      <c r="P224" t="s">
        <v>130</v>
      </c>
      <c r="Q224">
        <f t="shared" si="6"/>
        <v>47</v>
      </c>
      <c r="R224" cm="1">
        <f t="array" ref="R224">CalculateEventMomentumScore(E224, L224, M224, N224, O224, J224)</f>
        <v>1</v>
      </c>
      <c r="S224">
        <f t="shared" si="7"/>
        <v>1</v>
      </c>
    </row>
    <row r="225" spans="1:19" x14ac:dyDescent="0.3">
      <c r="A225" t="s">
        <v>172</v>
      </c>
      <c r="B225" t="s">
        <v>173</v>
      </c>
      <c r="C225">
        <v>2783152</v>
      </c>
      <c r="D225">
        <v>33693</v>
      </c>
      <c r="E225" t="s">
        <v>28</v>
      </c>
      <c r="I225" t="s">
        <v>113</v>
      </c>
      <c r="L225" t="s">
        <v>23</v>
      </c>
      <c r="M225" t="s">
        <v>31</v>
      </c>
      <c r="N225" t="s">
        <v>123</v>
      </c>
      <c r="Q225">
        <f t="shared" si="6"/>
        <v>47</v>
      </c>
      <c r="R225" cm="1">
        <f t="array" ref="R225">CalculateEventMomentumScore(E225, L225, M225, N225, O225, J225)</f>
        <v>-16</v>
      </c>
      <c r="S225">
        <f t="shared" si="7"/>
        <v>-15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B8461-9F21-4308-9AB4-9F95FA3743BC}">
  <sheetPr codeName="Sheet2"/>
  <dimension ref="E4:AX163"/>
  <sheetViews>
    <sheetView topLeftCell="A29" zoomScale="70" zoomScaleNormal="70" workbookViewId="0">
      <selection activeCell="M60" sqref="M60"/>
    </sheetView>
  </sheetViews>
  <sheetFormatPr defaultRowHeight="14.4" x14ac:dyDescent="0.3"/>
  <cols>
    <col min="1" max="1" width="8.88671875" style="1"/>
    <col min="2" max="3" width="8.88671875" style="1" customWidth="1"/>
    <col min="4" max="4" width="8.88671875" style="1"/>
    <col min="5" max="5" width="8.88671875" style="1" customWidth="1"/>
    <col min="6" max="16384" width="8.88671875" style="1"/>
  </cols>
  <sheetData>
    <row r="4" spans="5:16" x14ac:dyDescent="0.3">
      <c r="E4" s="23"/>
      <c r="F4" s="24"/>
      <c r="G4" s="24"/>
      <c r="H4" s="24"/>
      <c r="I4" s="24"/>
      <c r="J4" s="24"/>
      <c r="K4" s="24"/>
      <c r="L4" s="24"/>
      <c r="M4" s="24"/>
      <c r="N4" s="24"/>
      <c r="O4" s="24"/>
      <c r="P4" s="25"/>
    </row>
    <row r="5" spans="5:16" x14ac:dyDescent="0.3">
      <c r="E5" s="26"/>
      <c r="F5" s="27" t="s">
        <v>272</v>
      </c>
      <c r="G5" s="28"/>
      <c r="H5" s="28"/>
      <c r="I5" s="28"/>
      <c r="J5" s="28"/>
      <c r="K5" s="28"/>
      <c r="L5" s="28"/>
      <c r="M5" s="28"/>
      <c r="N5" s="28"/>
      <c r="O5" s="28"/>
      <c r="P5" s="29"/>
    </row>
    <row r="6" spans="5:16" x14ac:dyDescent="0.3"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</row>
    <row r="7" spans="5:16" x14ac:dyDescent="0.3">
      <c r="E7" s="26"/>
      <c r="F7" s="28"/>
      <c r="G7" s="28" t="s">
        <v>195</v>
      </c>
      <c r="H7" s="28"/>
      <c r="I7" s="28"/>
      <c r="J7" s="28" t="s">
        <v>196</v>
      </c>
      <c r="K7" s="28"/>
      <c r="L7" s="28"/>
      <c r="M7" s="28" t="s">
        <v>199</v>
      </c>
      <c r="N7" s="28"/>
      <c r="O7" s="28"/>
      <c r="P7" s="29"/>
    </row>
    <row r="8" spans="5:16" x14ac:dyDescent="0.3">
      <c r="E8" s="26"/>
      <c r="F8" s="28"/>
      <c r="G8" s="28" t="s">
        <v>192</v>
      </c>
      <c r="H8" s="28"/>
      <c r="I8" s="28"/>
      <c r="J8" s="28" t="s">
        <v>198</v>
      </c>
      <c r="K8" s="28"/>
      <c r="L8" s="28"/>
      <c r="M8" s="28" t="s">
        <v>198</v>
      </c>
      <c r="N8" s="28"/>
      <c r="O8" s="28"/>
      <c r="P8" s="29"/>
    </row>
    <row r="9" spans="5:16" x14ac:dyDescent="0.3">
      <c r="E9" s="26"/>
      <c r="F9" s="28"/>
      <c r="G9" s="28" t="s">
        <v>193</v>
      </c>
      <c r="H9" s="28"/>
      <c r="I9" s="28"/>
      <c r="J9" s="28" t="s">
        <v>197</v>
      </c>
      <c r="K9" s="28"/>
      <c r="L9" s="28"/>
      <c r="M9" s="28" t="s">
        <v>200</v>
      </c>
      <c r="N9" s="28"/>
      <c r="O9" s="28"/>
      <c r="P9" s="29"/>
    </row>
    <row r="10" spans="5:16" x14ac:dyDescent="0.3">
      <c r="E10" s="26"/>
      <c r="F10" s="28"/>
      <c r="G10" s="28" t="s">
        <v>194</v>
      </c>
      <c r="H10" s="28"/>
      <c r="I10" s="28"/>
      <c r="J10" s="28" t="s">
        <v>198</v>
      </c>
      <c r="K10" s="28"/>
      <c r="L10" s="28"/>
      <c r="M10" s="28" t="s">
        <v>198</v>
      </c>
      <c r="N10" s="28"/>
      <c r="O10" s="28"/>
      <c r="P10" s="29"/>
    </row>
    <row r="11" spans="5:16" x14ac:dyDescent="0.3">
      <c r="E11" s="30"/>
      <c r="F11" s="28"/>
      <c r="G11" s="28"/>
      <c r="H11" s="28"/>
      <c r="I11" s="28"/>
      <c r="J11" s="28"/>
      <c r="K11" s="28"/>
      <c r="L11" s="28"/>
      <c r="M11" s="28"/>
      <c r="N11" s="31"/>
      <c r="O11" s="31"/>
      <c r="P11" s="32"/>
    </row>
    <row r="12" spans="5:16" x14ac:dyDescent="0.3">
      <c r="E12" s="3"/>
      <c r="F12" s="3"/>
      <c r="G12" s="3"/>
      <c r="H12" s="3"/>
      <c r="I12" s="3"/>
      <c r="J12" s="3"/>
      <c r="K12" s="3"/>
      <c r="L12" s="3"/>
      <c r="M12" s="3"/>
    </row>
    <row r="15" spans="5:16" x14ac:dyDescent="0.3">
      <c r="E15" s="13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5"/>
    </row>
    <row r="16" spans="5:16" x14ac:dyDescent="0.3">
      <c r="E16" s="16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8"/>
    </row>
    <row r="17" spans="5:16" x14ac:dyDescent="0.3">
      <c r="E17" s="16"/>
      <c r="F17" s="62" t="s">
        <v>273</v>
      </c>
      <c r="G17" s="62"/>
      <c r="H17" s="62"/>
      <c r="I17" s="17"/>
      <c r="J17" s="17"/>
      <c r="K17" s="17"/>
      <c r="L17" s="17"/>
      <c r="M17" s="17"/>
      <c r="N17" s="17"/>
      <c r="O17" s="17"/>
      <c r="P17" s="18"/>
    </row>
    <row r="18" spans="5:16" x14ac:dyDescent="0.3">
      <c r="E18" s="16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8"/>
    </row>
    <row r="19" spans="5:16" x14ac:dyDescent="0.3">
      <c r="E19" s="16"/>
      <c r="F19" s="17"/>
      <c r="G19" s="17"/>
      <c r="H19" s="22" t="s">
        <v>249</v>
      </c>
      <c r="I19" s="22" t="s">
        <v>250</v>
      </c>
      <c r="J19" s="22" t="s">
        <v>251</v>
      </c>
      <c r="K19" s="22" t="s">
        <v>243</v>
      </c>
      <c r="L19" s="22" t="s">
        <v>252</v>
      </c>
      <c r="M19" s="22" t="s">
        <v>253</v>
      </c>
      <c r="N19" s="22" t="s">
        <v>254</v>
      </c>
      <c r="O19" s="17"/>
      <c r="P19" s="18"/>
    </row>
    <row r="20" spans="5:16" x14ac:dyDescent="0.3">
      <c r="E20" s="16"/>
      <c r="F20" s="17"/>
      <c r="G20" s="17" t="s">
        <v>247</v>
      </c>
      <c r="H20" s="17">
        <v>8</v>
      </c>
      <c r="I20" s="17">
        <v>0</v>
      </c>
      <c r="J20" s="17">
        <v>2</v>
      </c>
      <c r="K20" s="17">
        <v>0</v>
      </c>
      <c r="L20" s="33">
        <f>IF(OR(I20=0, K20=0), 0, I20/K20)</f>
        <v>0</v>
      </c>
      <c r="M20" s="33">
        <f>IF(OR(J20=0, L20=0), 0, J20/L20)</f>
        <v>0</v>
      </c>
      <c r="N20" s="33"/>
      <c r="O20" s="17"/>
      <c r="P20" s="18"/>
    </row>
    <row r="21" spans="5:16" x14ac:dyDescent="0.3">
      <c r="E21" s="16"/>
      <c r="F21" s="17"/>
      <c r="G21" s="17" t="s">
        <v>248</v>
      </c>
      <c r="H21" s="17">
        <v>7</v>
      </c>
      <c r="I21" s="17">
        <v>0</v>
      </c>
      <c r="J21" s="17">
        <v>6</v>
      </c>
      <c r="K21" s="17">
        <v>4</v>
      </c>
      <c r="L21" s="33">
        <f>IF(OR(I21=0, K21=0), 0, I21/K21)</f>
        <v>0</v>
      </c>
      <c r="M21" s="33">
        <f>IF(OR(J21=0, L21=0), 0, J21/L21)</f>
        <v>0</v>
      </c>
      <c r="N21" s="33"/>
      <c r="O21" s="17"/>
      <c r="P21" s="18"/>
    </row>
    <row r="22" spans="5:16" x14ac:dyDescent="0.3">
      <c r="E22" s="16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8"/>
    </row>
    <row r="23" spans="5:16" x14ac:dyDescent="0.3">
      <c r="E23" s="19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1"/>
    </row>
    <row r="27" spans="5:16" x14ac:dyDescent="0.3">
      <c r="E27" s="2"/>
      <c r="F27" s="3"/>
      <c r="G27" s="3"/>
      <c r="H27" s="3"/>
      <c r="I27" s="4"/>
      <c r="L27" s="2"/>
      <c r="M27" s="3"/>
      <c r="N27" s="3"/>
      <c r="O27" s="3"/>
      <c r="P27" s="4"/>
    </row>
    <row r="28" spans="5:16" x14ac:dyDescent="0.3">
      <c r="E28" s="5"/>
      <c r="I28" s="6"/>
      <c r="L28" s="5"/>
      <c r="P28" s="6"/>
    </row>
    <row r="29" spans="5:16" x14ac:dyDescent="0.3">
      <c r="E29" s="5"/>
      <c r="F29" s="61" t="s">
        <v>274</v>
      </c>
      <c r="G29" s="61"/>
      <c r="H29" s="61"/>
      <c r="I29" s="6"/>
      <c r="L29" s="5"/>
      <c r="M29" s="61" t="s">
        <v>275</v>
      </c>
      <c r="N29" s="61"/>
      <c r="O29" s="61"/>
      <c r="P29" s="6"/>
    </row>
    <row r="30" spans="5:16" x14ac:dyDescent="0.3">
      <c r="E30" s="5"/>
      <c r="I30" s="6"/>
      <c r="L30" s="5"/>
      <c r="P30" s="6"/>
    </row>
    <row r="31" spans="5:16" x14ac:dyDescent="0.3">
      <c r="E31" s="5"/>
      <c r="G31" s="10" t="s">
        <v>180</v>
      </c>
      <c r="H31" s="10" t="s">
        <v>184</v>
      </c>
      <c r="I31" s="6"/>
      <c r="L31" s="5"/>
      <c r="N31" s="10" t="s">
        <v>180</v>
      </c>
      <c r="O31" s="10" t="s">
        <v>184</v>
      </c>
      <c r="P31" s="6"/>
    </row>
    <row r="32" spans="5:16" x14ac:dyDescent="0.3">
      <c r="E32" s="5"/>
      <c r="F32" s="1" t="s">
        <v>177</v>
      </c>
      <c r="G32">
        <v>0</v>
      </c>
      <c r="H32">
        <v>1</v>
      </c>
      <c r="I32" s="6"/>
      <c r="L32" s="5"/>
      <c r="M32" s="1" t="s">
        <v>217</v>
      </c>
      <c r="N32" s="65"/>
      <c r="O32" s="66"/>
      <c r="P32" s="6"/>
    </row>
    <row r="33" spans="5:16" x14ac:dyDescent="0.3">
      <c r="E33" s="5"/>
      <c r="F33" s="1" t="s">
        <v>201</v>
      </c>
      <c r="G33">
        <v>0</v>
      </c>
      <c r="H33">
        <v>0</v>
      </c>
      <c r="I33" s="6"/>
      <c r="L33" s="5"/>
      <c r="M33" s="1" t="s">
        <v>218</v>
      </c>
      <c r="N33" s="65"/>
      <c r="O33" s="65"/>
      <c r="P33" s="6"/>
    </row>
    <row r="34" spans="5:16" x14ac:dyDescent="0.3">
      <c r="E34" s="5"/>
      <c r="F34" s="1" t="s">
        <v>202</v>
      </c>
      <c r="G34">
        <v>0</v>
      </c>
      <c r="H34">
        <v>1</v>
      </c>
      <c r="I34" s="6"/>
      <c r="L34" s="5"/>
      <c r="M34" s="1" t="s">
        <v>219</v>
      </c>
      <c r="N34" s="65"/>
      <c r="O34" s="65">
        <v>1</v>
      </c>
      <c r="P34" s="6"/>
    </row>
    <row r="35" spans="5:16" x14ac:dyDescent="0.3">
      <c r="E35" s="5"/>
      <c r="F35" s="1" t="s">
        <v>203</v>
      </c>
      <c r="G35">
        <v>0</v>
      </c>
      <c r="H35">
        <v>0</v>
      </c>
      <c r="I35" s="6"/>
      <c r="L35" s="5"/>
      <c r="P35" s="6"/>
    </row>
    <row r="36" spans="5:16" x14ac:dyDescent="0.3">
      <c r="E36" s="5"/>
      <c r="F36" s="1" t="s">
        <v>204</v>
      </c>
      <c r="G36">
        <v>0</v>
      </c>
      <c r="H36">
        <v>0</v>
      </c>
      <c r="I36" s="6"/>
      <c r="L36" s="7"/>
      <c r="M36" s="8"/>
      <c r="N36" s="8"/>
      <c r="O36" s="8"/>
      <c r="P36" s="9"/>
    </row>
    <row r="37" spans="5:16" x14ac:dyDescent="0.3">
      <c r="E37" s="5"/>
      <c r="F37" s="1" t="s">
        <v>205</v>
      </c>
      <c r="G37">
        <v>0</v>
      </c>
      <c r="H37">
        <v>0</v>
      </c>
      <c r="I37" s="6"/>
    </row>
    <row r="38" spans="5:16" x14ac:dyDescent="0.3">
      <c r="E38" s="5"/>
      <c r="F38" s="1" t="s">
        <v>206</v>
      </c>
      <c r="G38">
        <v>0</v>
      </c>
      <c r="H38">
        <v>0</v>
      </c>
      <c r="I38" s="6"/>
    </row>
    <row r="39" spans="5:16" x14ac:dyDescent="0.3">
      <c r="E39" s="5"/>
      <c r="F39" s="1" t="s">
        <v>207</v>
      </c>
      <c r="G39">
        <v>0</v>
      </c>
      <c r="H39">
        <v>0</v>
      </c>
      <c r="I39" s="6"/>
    </row>
    <row r="40" spans="5:16" x14ac:dyDescent="0.3">
      <c r="E40" s="5"/>
      <c r="F40" s="1" t="s">
        <v>178</v>
      </c>
      <c r="G40">
        <v>0</v>
      </c>
      <c r="H40">
        <v>0</v>
      </c>
      <c r="I40" s="6"/>
    </row>
    <row r="41" spans="5:16" x14ac:dyDescent="0.3">
      <c r="E41" s="5"/>
      <c r="F41" s="1" t="s">
        <v>32</v>
      </c>
      <c r="G41">
        <v>0</v>
      </c>
      <c r="H41">
        <v>0</v>
      </c>
      <c r="I41" s="6"/>
    </row>
    <row r="42" spans="5:16" x14ac:dyDescent="0.3">
      <c r="E42" s="5"/>
      <c r="F42" s="1" t="s">
        <v>208</v>
      </c>
      <c r="G42">
        <v>0</v>
      </c>
      <c r="H42">
        <v>1</v>
      </c>
      <c r="I42" s="6"/>
    </row>
    <row r="43" spans="5:16" x14ac:dyDescent="0.3">
      <c r="E43" s="5"/>
      <c r="F43" s="1" t="s">
        <v>209</v>
      </c>
      <c r="G43">
        <v>0</v>
      </c>
      <c r="H43">
        <v>0</v>
      </c>
      <c r="I43" s="6"/>
    </row>
    <row r="44" spans="5:16" x14ac:dyDescent="0.3">
      <c r="E44" s="5"/>
      <c r="F44" s="1" t="s">
        <v>210</v>
      </c>
      <c r="G44">
        <v>0</v>
      </c>
      <c r="H44">
        <v>1</v>
      </c>
      <c r="I44" s="6"/>
    </row>
    <row r="45" spans="5:16" x14ac:dyDescent="0.3">
      <c r="E45" s="5"/>
      <c r="F45" s="1" t="s">
        <v>211</v>
      </c>
      <c r="G45">
        <v>0</v>
      </c>
      <c r="H45">
        <v>0</v>
      </c>
      <c r="I45" s="6"/>
    </row>
    <row r="46" spans="5:16" x14ac:dyDescent="0.3">
      <c r="E46" s="5"/>
      <c r="F46" s="1" t="s">
        <v>212</v>
      </c>
      <c r="G46">
        <v>0</v>
      </c>
      <c r="H46">
        <v>0</v>
      </c>
      <c r="I46" s="6"/>
    </row>
    <row r="47" spans="5:16" x14ac:dyDescent="0.3">
      <c r="E47" s="5"/>
      <c r="F47" s="1" t="s">
        <v>213</v>
      </c>
      <c r="G47">
        <v>0</v>
      </c>
      <c r="H47">
        <v>0</v>
      </c>
      <c r="I47" s="6"/>
    </row>
    <row r="48" spans="5:16" x14ac:dyDescent="0.3">
      <c r="E48" s="5"/>
      <c r="F48" s="1" t="s">
        <v>214</v>
      </c>
      <c r="G48">
        <v>0</v>
      </c>
      <c r="H48">
        <v>0</v>
      </c>
      <c r="I48" s="6"/>
    </row>
    <row r="49" spans="5:21" x14ac:dyDescent="0.3">
      <c r="E49" s="5"/>
      <c r="F49" s="1" t="s">
        <v>215</v>
      </c>
      <c r="G49">
        <v>0</v>
      </c>
      <c r="H49">
        <v>0</v>
      </c>
      <c r="I49" s="6"/>
    </row>
    <row r="50" spans="5:21" x14ac:dyDescent="0.3">
      <c r="E50" s="5"/>
      <c r="F50" s="1" t="s">
        <v>216</v>
      </c>
      <c r="G50">
        <v>0</v>
      </c>
      <c r="H50">
        <v>0</v>
      </c>
      <c r="I50" s="6"/>
    </row>
    <row r="51" spans="5:21" x14ac:dyDescent="0.3">
      <c r="E51" s="5"/>
      <c r="F51" s="1" t="s">
        <v>33</v>
      </c>
      <c r="G51">
        <v>0</v>
      </c>
      <c r="H51">
        <v>0</v>
      </c>
      <c r="I51" s="6"/>
    </row>
    <row r="52" spans="5:21" x14ac:dyDescent="0.3">
      <c r="E52" s="5"/>
      <c r="I52" s="6"/>
    </row>
    <row r="53" spans="5:21" x14ac:dyDescent="0.3">
      <c r="E53" s="7"/>
      <c r="F53" s="8"/>
      <c r="G53" s="8"/>
      <c r="H53" s="8"/>
      <c r="I53" s="9"/>
    </row>
    <row r="57" spans="5:21" x14ac:dyDescent="0.3">
      <c r="E57" s="2"/>
      <c r="F57" s="3"/>
      <c r="G57" s="3"/>
      <c r="H57" s="3"/>
      <c r="I57" s="4"/>
      <c r="K57" s="2"/>
      <c r="L57" s="3"/>
      <c r="M57" s="3"/>
      <c r="N57" s="3"/>
      <c r="O57" s="4"/>
      <c r="Q57" s="2"/>
      <c r="R57" s="3"/>
      <c r="S57" s="3"/>
      <c r="T57" s="3"/>
      <c r="U57" s="4"/>
    </row>
    <row r="58" spans="5:21" x14ac:dyDescent="0.3">
      <c r="E58" s="5"/>
      <c r="F58" s="61" t="s">
        <v>276</v>
      </c>
      <c r="G58" s="61"/>
      <c r="I58" s="6"/>
      <c r="K58" s="5"/>
      <c r="L58" s="12" t="s">
        <v>277</v>
      </c>
      <c r="O58" s="6"/>
      <c r="Q58" s="5"/>
      <c r="R58" s="11" t="s">
        <v>278</v>
      </c>
      <c r="U58" s="6"/>
    </row>
    <row r="59" spans="5:21" x14ac:dyDescent="0.3">
      <c r="E59" s="5"/>
      <c r="F59" s="12"/>
      <c r="G59" s="12" t="s">
        <v>180</v>
      </c>
      <c r="I59" s="6"/>
      <c r="K59" s="5"/>
      <c r="L59" s="12" t="s">
        <v>289</v>
      </c>
      <c r="M59" s="12" t="s">
        <v>247</v>
      </c>
      <c r="N59" s="12" t="s">
        <v>248</v>
      </c>
      <c r="O59" s="6"/>
      <c r="Q59" s="5"/>
      <c r="R59" s="12" t="s">
        <v>289</v>
      </c>
      <c r="S59" s="12" t="s">
        <v>247</v>
      </c>
      <c r="U59" s="6"/>
    </row>
    <row r="60" spans="5:21" x14ac:dyDescent="0.3">
      <c r="E60" s="5"/>
      <c r="F60" s="11" t="s">
        <v>177</v>
      </c>
      <c r="G60" s="1">
        <v>-6</v>
      </c>
      <c r="I60" s="6"/>
      <c r="K60" s="5"/>
      <c r="L60" s="11" t="s">
        <v>177</v>
      </c>
      <c r="M60" s="65"/>
      <c r="N60" s="65"/>
      <c r="O60" s="6"/>
      <c r="Q60" s="5"/>
      <c r="R60" s="1" t="s">
        <v>177</v>
      </c>
      <c r="U60" s="6"/>
    </row>
    <row r="61" spans="5:21" x14ac:dyDescent="0.3">
      <c r="E61" s="5"/>
      <c r="F61" s="11" t="s">
        <v>201</v>
      </c>
      <c r="G61" s="1">
        <v>0</v>
      </c>
      <c r="I61" s="6"/>
      <c r="K61" s="5"/>
      <c r="L61" s="11" t="s">
        <v>201</v>
      </c>
      <c r="M61" s="65"/>
      <c r="N61" s="65"/>
      <c r="O61" s="6"/>
      <c r="Q61" s="5"/>
      <c r="R61" s="1" t="s">
        <v>201</v>
      </c>
      <c r="U61" s="6"/>
    </row>
    <row r="62" spans="5:21" x14ac:dyDescent="0.3">
      <c r="E62" s="5"/>
      <c r="F62" s="11" t="s">
        <v>202</v>
      </c>
      <c r="G62" s="1">
        <v>-38</v>
      </c>
      <c r="I62" s="6"/>
      <c r="K62" s="5"/>
      <c r="L62" s="11" t="s">
        <v>202</v>
      </c>
      <c r="M62" s="65"/>
      <c r="N62" s="65"/>
      <c r="O62" s="6"/>
      <c r="Q62" s="5"/>
      <c r="R62" s="1" t="s">
        <v>202</v>
      </c>
      <c r="U62" s="6"/>
    </row>
    <row r="63" spans="5:21" x14ac:dyDescent="0.3">
      <c r="E63" s="5"/>
      <c r="F63" s="11" t="s">
        <v>203</v>
      </c>
      <c r="G63" s="1">
        <v>-17</v>
      </c>
      <c r="I63" s="6"/>
      <c r="K63" s="5"/>
      <c r="L63" s="11" t="s">
        <v>203</v>
      </c>
      <c r="M63" s="65"/>
      <c r="N63" s="65"/>
      <c r="O63" s="6"/>
      <c r="Q63" s="5"/>
      <c r="R63" s="1" t="s">
        <v>203</v>
      </c>
      <c r="U63" s="6"/>
    </row>
    <row r="64" spans="5:21" x14ac:dyDescent="0.3">
      <c r="E64" s="5"/>
      <c r="F64" s="11" t="s">
        <v>204</v>
      </c>
      <c r="G64" s="1">
        <v>2</v>
      </c>
      <c r="I64" s="6"/>
      <c r="K64" s="5"/>
      <c r="L64" s="11" t="s">
        <v>204</v>
      </c>
      <c r="M64" s="65"/>
      <c r="N64" s="65"/>
      <c r="O64" s="6"/>
      <c r="Q64" s="5"/>
      <c r="R64" s="1" t="s">
        <v>204</v>
      </c>
      <c r="U64" s="6"/>
    </row>
    <row r="65" spans="5:21" x14ac:dyDescent="0.3">
      <c r="E65" s="5"/>
      <c r="F65" s="11" t="s">
        <v>205</v>
      </c>
      <c r="G65" s="1">
        <v>9</v>
      </c>
      <c r="I65" s="6"/>
      <c r="K65" s="5"/>
      <c r="L65" s="11" t="s">
        <v>205</v>
      </c>
      <c r="M65" s="65"/>
      <c r="N65" s="65"/>
      <c r="O65" s="6"/>
      <c r="Q65" s="5"/>
      <c r="R65" s="1" t="s">
        <v>205</v>
      </c>
      <c r="U65" s="6"/>
    </row>
    <row r="66" spans="5:21" x14ac:dyDescent="0.3">
      <c r="E66" s="5"/>
      <c r="F66" s="11" t="s">
        <v>206</v>
      </c>
      <c r="G66" s="1">
        <v>-9</v>
      </c>
      <c r="I66" s="6"/>
      <c r="K66" s="5"/>
      <c r="L66" s="11" t="s">
        <v>206</v>
      </c>
      <c r="M66" s="65"/>
      <c r="N66" s="65"/>
      <c r="O66" s="6"/>
      <c r="Q66" s="5"/>
      <c r="R66" s="1" t="s">
        <v>206</v>
      </c>
      <c r="U66" s="6"/>
    </row>
    <row r="67" spans="5:21" x14ac:dyDescent="0.3">
      <c r="E67" s="5"/>
      <c r="F67" s="11" t="s">
        <v>207</v>
      </c>
      <c r="G67" s="1">
        <v>0</v>
      </c>
      <c r="I67" s="6"/>
      <c r="K67" s="5"/>
      <c r="L67" s="11" t="s">
        <v>207</v>
      </c>
      <c r="M67" s="65"/>
      <c r="N67" s="65"/>
      <c r="O67" s="6"/>
      <c r="Q67" s="5"/>
      <c r="R67" s="1" t="s">
        <v>207</v>
      </c>
      <c r="U67" s="6"/>
    </row>
    <row r="68" spans="5:21" x14ac:dyDescent="0.3">
      <c r="E68" s="5"/>
      <c r="F68" s="11" t="s">
        <v>178</v>
      </c>
      <c r="G68" s="1">
        <v>-1</v>
      </c>
      <c r="I68" s="6"/>
      <c r="K68" s="5"/>
      <c r="L68" s="11" t="s">
        <v>178</v>
      </c>
      <c r="M68" s="65"/>
      <c r="N68" s="65"/>
      <c r="O68" s="6"/>
      <c r="Q68" s="5"/>
      <c r="R68" s="1" t="s">
        <v>178</v>
      </c>
      <c r="U68" s="6"/>
    </row>
    <row r="69" spans="5:21" x14ac:dyDescent="0.3">
      <c r="E69" s="5"/>
      <c r="F69" s="11" t="s">
        <v>32</v>
      </c>
      <c r="G69" s="1">
        <v>0</v>
      </c>
      <c r="I69" s="6"/>
      <c r="K69" s="5"/>
      <c r="L69" s="11" t="s">
        <v>32</v>
      </c>
      <c r="M69" s="65"/>
      <c r="N69" s="65"/>
      <c r="O69" s="6"/>
      <c r="Q69" s="5"/>
      <c r="R69" s="1" t="s">
        <v>32</v>
      </c>
      <c r="U69" s="6"/>
    </row>
    <row r="70" spans="5:21" x14ac:dyDescent="0.3">
      <c r="E70" s="5"/>
      <c r="F70" s="11" t="s">
        <v>208</v>
      </c>
      <c r="G70" s="1">
        <v>10</v>
      </c>
      <c r="I70" s="6"/>
      <c r="K70" s="5"/>
      <c r="L70" s="11" t="s">
        <v>208</v>
      </c>
      <c r="M70" s="65"/>
      <c r="N70" s="65"/>
      <c r="O70" s="6"/>
      <c r="Q70" s="5"/>
      <c r="R70" s="1" t="s">
        <v>208</v>
      </c>
      <c r="U70" s="6"/>
    </row>
    <row r="71" spans="5:21" x14ac:dyDescent="0.3">
      <c r="E71" s="5"/>
      <c r="F71" s="11" t="s">
        <v>209</v>
      </c>
      <c r="G71" s="1">
        <v>0</v>
      </c>
      <c r="I71" s="6"/>
      <c r="K71" s="5"/>
      <c r="L71" s="11" t="s">
        <v>209</v>
      </c>
      <c r="M71" s="65"/>
      <c r="N71" s="65"/>
      <c r="O71" s="6"/>
      <c r="Q71" s="5"/>
      <c r="R71" s="1" t="s">
        <v>209</v>
      </c>
      <c r="U71" s="6"/>
    </row>
    <row r="72" spans="5:21" x14ac:dyDescent="0.3">
      <c r="E72" s="5"/>
      <c r="F72" s="11" t="s">
        <v>210</v>
      </c>
      <c r="G72" s="1">
        <v>-20</v>
      </c>
      <c r="I72" s="6"/>
      <c r="K72" s="5"/>
      <c r="L72" s="11" t="s">
        <v>210</v>
      </c>
      <c r="M72" s="65"/>
      <c r="N72" s="65"/>
      <c r="O72" s="6"/>
      <c r="Q72" s="5"/>
      <c r="R72" s="1" t="s">
        <v>210</v>
      </c>
      <c r="U72" s="6"/>
    </row>
    <row r="73" spans="5:21" x14ac:dyDescent="0.3">
      <c r="E73" s="5"/>
      <c r="F73" s="11" t="s">
        <v>211</v>
      </c>
      <c r="G73" s="1">
        <v>-10</v>
      </c>
      <c r="I73" s="6"/>
      <c r="K73" s="5"/>
      <c r="L73" s="11" t="s">
        <v>211</v>
      </c>
      <c r="M73" s="65"/>
      <c r="N73" s="65"/>
      <c r="O73" s="6"/>
      <c r="Q73" s="5"/>
      <c r="R73" s="1" t="s">
        <v>211</v>
      </c>
      <c r="U73" s="6"/>
    </row>
    <row r="74" spans="5:21" x14ac:dyDescent="0.3">
      <c r="E74" s="5"/>
      <c r="F74" s="11" t="s">
        <v>212</v>
      </c>
      <c r="G74" s="1">
        <v>0</v>
      </c>
      <c r="I74" s="6"/>
      <c r="K74" s="5"/>
      <c r="L74" s="11" t="s">
        <v>212</v>
      </c>
      <c r="M74" s="65"/>
      <c r="N74" s="65"/>
      <c r="O74" s="6"/>
      <c r="Q74" s="5"/>
      <c r="R74" s="1" t="s">
        <v>212</v>
      </c>
      <c r="U74" s="6"/>
    </row>
    <row r="75" spans="5:21" x14ac:dyDescent="0.3">
      <c r="E75" s="5"/>
      <c r="F75" s="11" t="s">
        <v>213</v>
      </c>
      <c r="G75" s="1">
        <v>18</v>
      </c>
      <c r="I75" s="6"/>
      <c r="K75" s="5"/>
      <c r="L75" s="11" t="s">
        <v>213</v>
      </c>
      <c r="M75" s="65"/>
      <c r="N75" s="65"/>
      <c r="O75" s="6"/>
      <c r="Q75" s="5"/>
      <c r="R75" s="1" t="s">
        <v>213</v>
      </c>
      <c r="U75" s="6"/>
    </row>
    <row r="76" spans="5:21" x14ac:dyDescent="0.3">
      <c r="E76" s="5"/>
      <c r="F76" s="11" t="s">
        <v>214</v>
      </c>
      <c r="G76" s="1">
        <v>0</v>
      </c>
      <c r="I76" s="6"/>
      <c r="K76" s="5"/>
      <c r="L76" s="11" t="s">
        <v>214</v>
      </c>
      <c r="M76" s="65"/>
      <c r="N76" s="65"/>
      <c r="O76" s="6"/>
      <c r="Q76" s="5"/>
      <c r="R76" s="1" t="s">
        <v>214</v>
      </c>
      <c r="U76" s="6"/>
    </row>
    <row r="77" spans="5:21" x14ac:dyDescent="0.3">
      <c r="E77" s="5"/>
      <c r="F77" s="11" t="s">
        <v>215</v>
      </c>
      <c r="G77" s="1">
        <v>0</v>
      </c>
      <c r="I77" s="6"/>
      <c r="K77" s="5"/>
      <c r="L77" s="11" t="s">
        <v>215</v>
      </c>
      <c r="M77" s="65"/>
      <c r="N77" s="65"/>
      <c r="O77" s="6"/>
      <c r="Q77" s="5"/>
      <c r="R77" s="1" t="s">
        <v>215</v>
      </c>
      <c r="U77" s="6"/>
    </row>
    <row r="78" spans="5:21" x14ac:dyDescent="0.3">
      <c r="E78" s="5"/>
      <c r="F78" s="11" t="s">
        <v>216</v>
      </c>
      <c r="G78" s="1">
        <v>3</v>
      </c>
      <c r="I78" s="6"/>
      <c r="K78" s="5"/>
      <c r="L78" s="11" t="s">
        <v>216</v>
      </c>
      <c r="M78" s="65"/>
      <c r="N78" s="65"/>
      <c r="O78" s="6"/>
      <c r="Q78" s="5"/>
      <c r="R78" s="1" t="s">
        <v>216</v>
      </c>
      <c r="U78" s="6"/>
    </row>
    <row r="79" spans="5:21" x14ac:dyDescent="0.3">
      <c r="E79" s="5"/>
      <c r="F79" s="11" t="s">
        <v>33</v>
      </c>
      <c r="G79" s="1">
        <v>-15</v>
      </c>
      <c r="I79" s="6"/>
      <c r="K79" s="5"/>
      <c r="L79" s="11" t="s">
        <v>33</v>
      </c>
      <c r="M79" s="65"/>
      <c r="N79" s="65"/>
      <c r="O79" s="6"/>
      <c r="Q79" s="5"/>
      <c r="R79" s="1" t="s">
        <v>33</v>
      </c>
      <c r="U79" s="6"/>
    </row>
    <row r="80" spans="5:21" x14ac:dyDescent="0.3">
      <c r="E80" s="5"/>
      <c r="I80" s="6"/>
      <c r="K80" s="5"/>
      <c r="O80" s="6"/>
      <c r="Q80" s="5"/>
      <c r="U80" s="6"/>
    </row>
    <row r="81" spans="5:34" x14ac:dyDescent="0.3">
      <c r="E81" s="7"/>
      <c r="F81" s="8"/>
      <c r="G81" s="8"/>
      <c r="H81" s="8"/>
      <c r="I81" s="9"/>
      <c r="K81" s="7"/>
      <c r="L81" s="8"/>
      <c r="M81" s="8"/>
      <c r="N81" s="8"/>
      <c r="O81" s="9"/>
      <c r="Q81" s="7"/>
      <c r="R81" s="8"/>
      <c r="S81" s="8"/>
      <c r="T81" s="8"/>
      <c r="U81" s="9"/>
    </row>
    <row r="87" spans="5:34" x14ac:dyDescent="0.3">
      <c r="E87" s="2"/>
      <c r="F87" s="3"/>
      <c r="G87" s="3"/>
      <c r="H87" s="3"/>
      <c r="I87" s="3"/>
      <c r="J87" s="3"/>
      <c r="K87" s="4"/>
      <c r="M87" s="2"/>
      <c r="N87" s="3"/>
      <c r="O87" s="3"/>
      <c r="P87" s="3"/>
      <c r="Q87" s="3"/>
      <c r="R87" s="3"/>
      <c r="S87" s="3"/>
      <c r="T87" s="3"/>
      <c r="U87" s="4"/>
      <c r="W87" s="2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4"/>
    </row>
    <row r="88" spans="5:34" x14ac:dyDescent="0.3">
      <c r="E88" s="5"/>
      <c r="F88" s="62" t="s">
        <v>279</v>
      </c>
      <c r="G88" s="62"/>
      <c r="H88" s="62"/>
      <c r="K88" s="6"/>
      <c r="M88" s="5"/>
      <c r="N88" s="61" t="s">
        <v>280</v>
      </c>
      <c r="O88" s="61"/>
      <c r="P88" s="61"/>
      <c r="U88" s="6"/>
      <c r="W88" s="5"/>
      <c r="X88" s="61" t="s">
        <v>281</v>
      </c>
      <c r="Y88" s="61"/>
      <c r="Z88" s="61"/>
      <c r="AH88" s="6"/>
    </row>
    <row r="89" spans="5:34" x14ac:dyDescent="0.3">
      <c r="E89" s="5"/>
      <c r="K89" s="6"/>
      <c r="M89" s="5"/>
      <c r="U89" s="6"/>
      <c r="W89" s="5"/>
      <c r="AH89" s="6"/>
    </row>
    <row r="90" spans="5:34" x14ac:dyDescent="0.3">
      <c r="E90" s="5"/>
      <c r="F90"/>
      <c r="G90" t="s">
        <v>180</v>
      </c>
      <c r="H90" t="s">
        <v>183</v>
      </c>
      <c r="I90" t="s">
        <v>184</v>
      </c>
      <c r="J90" t="s">
        <v>185</v>
      </c>
      <c r="K90" s="6"/>
      <c r="M90" s="5"/>
      <c r="O90" s="63" t="s">
        <v>180</v>
      </c>
      <c r="P90" s="63"/>
      <c r="Q90" s="63"/>
      <c r="R90" s="63"/>
      <c r="S90" s="63"/>
      <c r="T90" s="63"/>
      <c r="U90" s="6"/>
      <c r="W90" s="5"/>
      <c r="Z90" s="1" t="s">
        <v>180</v>
      </c>
      <c r="AH90" s="6"/>
    </row>
    <row r="91" spans="5:34" x14ac:dyDescent="0.3">
      <c r="E91" s="5"/>
      <c r="F91" t="s">
        <v>181</v>
      </c>
      <c r="G91">
        <v>25</v>
      </c>
      <c r="H91"/>
      <c r="I91">
        <v>36</v>
      </c>
      <c r="J91"/>
      <c r="K91" s="6"/>
      <c r="M91" s="5"/>
      <c r="N91" s="1" t="s">
        <v>9</v>
      </c>
      <c r="U91" s="6"/>
      <c r="W91" s="5"/>
      <c r="Y91" s="1" t="s">
        <v>25</v>
      </c>
      <c r="Z91" s="1">
        <v>2</v>
      </c>
      <c r="AA91" s="1">
        <v>0</v>
      </c>
      <c r="AB91" s="1">
        <v>2</v>
      </c>
      <c r="AC91" s="1">
        <v>3</v>
      </c>
      <c r="AD91" s="1">
        <v>0</v>
      </c>
      <c r="AE91" s="1">
        <v>0</v>
      </c>
      <c r="AF91" s="1">
        <v>0</v>
      </c>
      <c r="AH91" s="6"/>
    </row>
    <row r="92" spans="5:34" x14ac:dyDescent="0.3">
      <c r="E92" s="5"/>
      <c r="F92" t="s">
        <v>25</v>
      </c>
      <c r="G92">
        <v>12</v>
      </c>
      <c r="H92" t="str">
        <f>IF(OR(G91=0, G92=0), 0, ROUND(G92/G91*100, 0)) &amp; "%"</f>
        <v>48%</v>
      </c>
      <c r="I92">
        <v>8</v>
      </c>
      <c r="J92" t="str">
        <f>IF(OR(I91=0, I92=0), 0, ROUND(I92/I91*100, 0)) &amp; "%"</f>
        <v>22%</v>
      </c>
      <c r="K92" s="6"/>
      <c r="M92" s="5"/>
      <c r="N92" s="1" t="s">
        <v>25</v>
      </c>
      <c r="O92" s="1">
        <v>6</v>
      </c>
      <c r="P92" s="1">
        <v>-22</v>
      </c>
      <c r="Q92" s="1">
        <v>-10</v>
      </c>
      <c r="R92" s="1">
        <v>3</v>
      </c>
      <c r="S92" s="1">
        <v>-14</v>
      </c>
      <c r="T92" s="1">
        <v>9</v>
      </c>
      <c r="U92" s="6"/>
      <c r="W92" s="5"/>
      <c r="Y92" s="1" t="s">
        <v>22</v>
      </c>
      <c r="Z92" s="1">
        <v>3</v>
      </c>
      <c r="AA92" s="1">
        <v>6</v>
      </c>
      <c r="AB92" s="1">
        <v>6</v>
      </c>
      <c r="AC92" s="1">
        <v>2</v>
      </c>
      <c r="AD92" s="1">
        <v>0</v>
      </c>
      <c r="AE92" s="1">
        <v>5</v>
      </c>
      <c r="AF92" s="1">
        <v>0</v>
      </c>
      <c r="AH92" s="6"/>
    </row>
    <row r="93" spans="5:34" x14ac:dyDescent="0.3">
      <c r="E93" s="5"/>
      <c r="F93" t="s">
        <v>22</v>
      </c>
      <c r="G93">
        <v>11</v>
      </c>
      <c r="H93" t="str">
        <f>IF(OR(G91=0, G93=0), 0, ROUND(G93/G91*100, 0)) &amp; "%"</f>
        <v>44%</v>
      </c>
      <c r="I93">
        <v>23</v>
      </c>
      <c r="J93" t="str">
        <f>IF(OR(I91=0, I93=0), 0, ROUND(I93/I91*100, 0)) &amp; "%"</f>
        <v>64%</v>
      </c>
      <c r="K93" s="6"/>
      <c r="M93" s="5"/>
      <c r="N93" s="1" t="s">
        <v>22</v>
      </c>
      <c r="O93" s="1">
        <v>0</v>
      </c>
      <c r="P93" s="1">
        <v>6</v>
      </c>
      <c r="Q93" s="1">
        <v>6</v>
      </c>
      <c r="R93" s="1">
        <v>4</v>
      </c>
      <c r="S93" s="1">
        <v>2</v>
      </c>
      <c r="T93" s="1">
        <v>-16</v>
      </c>
      <c r="U93" s="6"/>
      <c r="W93" s="5"/>
      <c r="Y93" s="1" t="s">
        <v>115</v>
      </c>
      <c r="Z93" s="1">
        <v>0</v>
      </c>
      <c r="AA93" s="1">
        <v>5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H93" s="6"/>
    </row>
    <row r="94" spans="5:34" x14ac:dyDescent="0.3">
      <c r="E94" s="5"/>
      <c r="F94" t="s">
        <v>115</v>
      </c>
      <c r="G94">
        <v>2</v>
      </c>
      <c r="H94" t="str">
        <f>IF(OR(G91=0, G94=0), 0, ROUND(G94/G91*100, 0)) &amp; "%"</f>
        <v>8%</v>
      </c>
      <c r="I94">
        <v>5</v>
      </c>
      <c r="J94" t="str">
        <f>IF(OR(I91=0, I94=0), 0, ROUND(I94/I91*100, 0)) &amp; "%"</f>
        <v>14%</v>
      </c>
      <c r="K94" s="6"/>
      <c r="M94" s="5"/>
      <c r="N94" s="1" t="s">
        <v>115</v>
      </c>
      <c r="O94" s="1">
        <v>1</v>
      </c>
      <c r="P94" s="1">
        <v>0</v>
      </c>
      <c r="Q94" s="1">
        <v>0</v>
      </c>
      <c r="R94" s="1">
        <v>0</v>
      </c>
      <c r="S94" s="1">
        <v>0</v>
      </c>
      <c r="T94" s="1">
        <v>-6</v>
      </c>
      <c r="U94" s="6"/>
      <c r="W94" s="5"/>
      <c r="Z94" s="1" t="s">
        <v>108</v>
      </c>
      <c r="AA94" s="1" t="s">
        <v>109</v>
      </c>
      <c r="AB94" s="1" t="s">
        <v>225</v>
      </c>
      <c r="AC94" s="1" t="s">
        <v>226</v>
      </c>
      <c r="AD94" s="1" t="s">
        <v>227</v>
      </c>
      <c r="AE94" s="1" t="s">
        <v>228</v>
      </c>
      <c r="AF94" s="1" t="s">
        <v>110</v>
      </c>
      <c r="AH94" s="6"/>
    </row>
    <row r="95" spans="5:34" x14ac:dyDescent="0.3">
      <c r="E95" s="5"/>
      <c r="F95"/>
      <c r="G95"/>
      <c r="H95"/>
      <c r="I95"/>
      <c r="J95"/>
      <c r="K95" s="6"/>
      <c r="M95" s="5"/>
      <c r="O95" s="1" t="s">
        <v>179</v>
      </c>
      <c r="P95" s="1" t="s">
        <v>187</v>
      </c>
      <c r="Q95" s="1" t="s">
        <v>188</v>
      </c>
      <c r="R95" s="1" t="s">
        <v>189</v>
      </c>
      <c r="S95" s="1" t="s">
        <v>190</v>
      </c>
      <c r="T95" s="1" t="s">
        <v>191</v>
      </c>
      <c r="U95" s="6"/>
      <c r="W95" s="5"/>
      <c r="AH95" s="6"/>
    </row>
    <row r="96" spans="5:34" x14ac:dyDescent="0.3">
      <c r="E96" s="5"/>
      <c r="F96" t="s">
        <v>186</v>
      </c>
      <c r="G96">
        <v>6</v>
      </c>
      <c r="H96"/>
      <c r="I96">
        <v>14</v>
      </c>
      <c r="J96"/>
      <c r="K96" s="6"/>
      <c r="M96" s="5"/>
      <c r="U96" s="6"/>
      <c r="W96" s="5"/>
      <c r="AH96" s="6"/>
    </row>
    <row r="97" spans="5:39" x14ac:dyDescent="0.3">
      <c r="E97" s="5"/>
      <c r="F97" t="s">
        <v>25</v>
      </c>
      <c r="G97">
        <v>2</v>
      </c>
      <c r="H97" s="34" t="str">
        <f>IF(OR(G96=0, G97=0), 0, ROUND(G97/G96*100, 0)) &amp; "%"</f>
        <v>33%</v>
      </c>
      <c r="I97">
        <v>0</v>
      </c>
      <c r="J97" t="str">
        <f>IF(OR(I96=0, I97=0), 0, ROUND(I97/I96*100, 0)) &amp; "%"</f>
        <v>0%</v>
      </c>
      <c r="K97" s="6"/>
      <c r="M97" s="5"/>
      <c r="U97" s="6"/>
      <c r="W97" s="5"/>
      <c r="Z97" s="1" t="s">
        <v>184</v>
      </c>
      <c r="AH97" s="6"/>
    </row>
    <row r="98" spans="5:39" x14ac:dyDescent="0.3">
      <c r="E98" s="5"/>
      <c r="F98" t="s">
        <v>22</v>
      </c>
      <c r="G98">
        <v>1</v>
      </c>
      <c r="H98" t="str">
        <f>IF(OR(G96=0, G98=0), 0, ROUND(G98/G96*100, 0)) &amp; "%"</f>
        <v>17%</v>
      </c>
      <c r="I98">
        <v>1</v>
      </c>
      <c r="J98" t="str">
        <f>IF(OR(I96=0, I98=0), 0, ROUND(I98/I96*100, 0)) &amp; "%"</f>
        <v>7%</v>
      </c>
      <c r="K98" s="6"/>
      <c r="M98" s="5"/>
      <c r="O98" s="63" t="s">
        <v>184</v>
      </c>
      <c r="P98" s="63"/>
      <c r="Q98" s="63"/>
      <c r="R98" s="63"/>
      <c r="S98" s="63"/>
      <c r="T98" s="63"/>
      <c r="U98" s="6"/>
      <c r="W98" s="5"/>
      <c r="Y98" s="1" t="s">
        <v>25</v>
      </c>
      <c r="Z98" s="1">
        <v>7</v>
      </c>
      <c r="AA98" s="1">
        <v>0</v>
      </c>
      <c r="AB98" s="1">
        <v>1</v>
      </c>
      <c r="AC98" s="1">
        <v>3</v>
      </c>
      <c r="AD98" s="1">
        <v>1</v>
      </c>
      <c r="AE98" s="1">
        <v>0</v>
      </c>
      <c r="AF98" s="1">
        <v>0</v>
      </c>
      <c r="AH98" s="6"/>
    </row>
    <row r="99" spans="5:39" x14ac:dyDescent="0.3">
      <c r="E99" s="5"/>
      <c r="F99" t="s">
        <v>115</v>
      </c>
      <c r="G99">
        <v>0</v>
      </c>
      <c r="H99" t="str">
        <f>IF(OR(G96=0, G99=0), 0, ROUND(G99/G96*100, 0)) &amp; "%"</f>
        <v>0%</v>
      </c>
      <c r="I99">
        <v>0</v>
      </c>
      <c r="J99" t="str">
        <f>IF(OR(I96=0, I99=0), 0, ROUND(I99/I96*100, 0)) &amp; "%"</f>
        <v>0%</v>
      </c>
      <c r="K99" s="6"/>
      <c r="M99" s="5"/>
      <c r="N99" s="1" t="s">
        <v>9</v>
      </c>
      <c r="U99" s="6"/>
      <c r="W99" s="5"/>
      <c r="Y99" s="1" t="s">
        <v>22</v>
      </c>
      <c r="Z99" s="1">
        <v>0</v>
      </c>
      <c r="AA99" s="1">
        <v>9</v>
      </c>
      <c r="AB99" s="1">
        <v>1</v>
      </c>
      <c r="AC99" s="1">
        <v>0</v>
      </c>
      <c r="AD99" s="1">
        <v>0</v>
      </c>
      <c r="AE99" s="1">
        <v>1</v>
      </c>
      <c r="AF99" s="1">
        <v>0</v>
      </c>
      <c r="AH99" s="6"/>
    </row>
    <row r="100" spans="5:39" x14ac:dyDescent="0.3">
      <c r="E100" s="5"/>
      <c r="F100"/>
      <c r="G100"/>
      <c r="H100" s="34"/>
      <c r="I100"/>
      <c r="J100"/>
      <c r="K100" s="6"/>
      <c r="M100" s="5"/>
      <c r="N100" s="1" t="s">
        <v>25</v>
      </c>
      <c r="O100" s="1">
        <v>0</v>
      </c>
      <c r="P100" s="1">
        <v>-6</v>
      </c>
      <c r="Q100" s="1">
        <v>-3</v>
      </c>
      <c r="R100" s="1">
        <v>-3</v>
      </c>
      <c r="S100" s="1">
        <v>11</v>
      </c>
      <c r="T100" s="1">
        <v>-3</v>
      </c>
      <c r="U100" s="6"/>
      <c r="W100" s="5"/>
      <c r="Y100" s="1" t="s">
        <v>115</v>
      </c>
      <c r="Z100" s="1">
        <v>0</v>
      </c>
      <c r="AA100" s="1">
        <v>1</v>
      </c>
      <c r="AB100" s="1">
        <v>0</v>
      </c>
      <c r="AC100" s="1">
        <v>0</v>
      </c>
      <c r="AD100" s="1">
        <v>0</v>
      </c>
      <c r="AE100" s="1">
        <v>1</v>
      </c>
      <c r="AF100" s="1">
        <v>0</v>
      </c>
      <c r="AH100" s="6"/>
    </row>
    <row r="101" spans="5:39" x14ac:dyDescent="0.3">
      <c r="E101" s="5"/>
      <c r="F101" t="s">
        <v>182</v>
      </c>
      <c r="G101">
        <v>0</v>
      </c>
      <c r="H101"/>
      <c r="I101">
        <v>4</v>
      </c>
      <c r="J101"/>
      <c r="K101" s="6"/>
      <c r="M101" s="5"/>
      <c r="N101" s="1" t="s">
        <v>22</v>
      </c>
      <c r="O101" s="1">
        <v>6</v>
      </c>
      <c r="P101" s="1">
        <v>-4</v>
      </c>
      <c r="Q101" s="1">
        <v>0</v>
      </c>
      <c r="R101" s="1">
        <v>6</v>
      </c>
      <c r="S101" s="1">
        <v>-4</v>
      </c>
      <c r="T101" s="1">
        <v>0</v>
      </c>
      <c r="U101" s="6"/>
      <c r="W101" s="5"/>
      <c r="Z101" s="1" t="s">
        <v>108</v>
      </c>
      <c r="AA101" s="1" t="s">
        <v>109</v>
      </c>
      <c r="AB101" s="1" t="s">
        <v>225</v>
      </c>
      <c r="AC101" s="1" t="s">
        <v>226</v>
      </c>
      <c r="AD101" s="1" t="s">
        <v>227</v>
      </c>
      <c r="AE101" s="1" t="s">
        <v>228</v>
      </c>
      <c r="AF101" s="1" t="s">
        <v>110</v>
      </c>
      <c r="AH101" s="6"/>
    </row>
    <row r="102" spans="5:39" x14ac:dyDescent="0.3">
      <c r="E102" s="5"/>
      <c r="F102" t="s">
        <v>25</v>
      </c>
      <c r="G102">
        <v>0</v>
      </c>
      <c r="H102" t="str">
        <f>IF(OR(G101=0, G102=0), 0, ROUND(G102/G101*100, 0)) &amp; "%"</f>
        <v>0%</v>
      </c>
      <c r="I102">
        <v>0</v>
      </c>
      <c r="J102" t="str">
        <f>IF(OR(I101=0, I102=0), 0, ROUND(I102/I101*100, 0)) &amp; "%"</f>
        <v>0%</v>
      </c>
      <c r="K102" s="6"/>
      <c r="M102" s="5"/>
      <c r="N102" s="1" t="s">
        <v>115</v>
      </c>
      <c r="O102" s="1">
        <v>-1</v>
      </c>
      <c r="P102" s="1">
        <v>-1</v>
      </c>
      <c r="Q102" s="1">
        <v>-2</v>
      </c>
      <c r="R102" s="1">
        <v>0</v>
      </c>
      <c r="S102" s="1">
        <v>0</v>
      </c>
      <c r="T102" s="1">
        <v>-1</v>
      </c>
      <c r="U102" s="6"/>
      <c r="W102" s="5"/>
      <c r="AH102" s="6"/>
    </row>
    <row r="103" spans="5:39" x14ac:dyDescent="0.3">
      <c r="E103" s="5"/>
      <c r="F103" t="s">
        <v>22</v>
      </c>
      <c r="G103">
        <v>0</v>
      </c>
      <c r="H103" t="str">
        <f>IF(OR(G101=0, G103=0), 0, ROUND(G103/G101*100, 0)) &amp; "%"</f>
        <v>0%</v>
      </c>
      <c r="I103">
        <v>0</v>
      </c>
      <c r="J103" t="str">
        <f>IF(OR(I101=0, I103=0), 0, ROUND(I103/I101*100, 0)) &amp; "%"</f>
        <v>0%</v>
      </c>
      <c r="K103" s="6"/>
      <c r="M103" s="5"/>
      <c r="O103" s="1" t="s">
        <v>179</v>
      </c>
      <c r="P103" s="1" t="s">
        <v>187</v>
      </c>
      <c r="Q103" s="1" t="s">
        <v>188</v>
      </c>
      <c r="R103" s="1" t="s">
        <v>189</v>
      </c>
      <c r="S103" s="1" t="s">
        <v>190</v>
      </c>
      <c r="T103" s="1" t="s">
        <v>191</v>
      </c>
      <c r="U103" s="6"/>
      <c r="W103" s="5"/>
      <c r="AH103" s="6"/>
    </row>
    <row r="104" spans="5:39" x14ac:dyDescent="0.3">
      <c r="E104" s="5"/>
      <c r="F104" t="s">
        <v>115</v>
      </c>
      <c r="G104">
        <v>0</v>
      </c>
      <c r="H104" t="str">
        <f>IF(OR(G103=0, G101=0), 0, ROUND(G104/G101*100, 0)) &amp; "%"</f>
        <v>0%</v>
      </c>
      <c r="I104">
        <v>0</v>
      </c>
      <c r="J104" t="str">
        <f>IF(OR(I101=0, I104=0), 0, ROUND(I104/I101*100, 0)) &amp; "%"</f>
        <v>0%</v>
      </c>
      <c r="K104" s="6"/>
      <c r="M104" s="5"/>
      <c r="U104" s="6"/>
      <c r="W104" s="5"/>
      <c r="AH104" s="6"/>
    </row>
    <row r="105" spans="5:39" x14ac:dyDescent="0.3">
      <c r="E105" s="5"/>
      <c r="K105" s="6"/>
      <c r="M105" s="5"/>
      <c r="U105" s="6"/>
      <c r="W105" s="5"/>
      <c r="AH105" s="6"/>
    </row>
    <row r="106" spans="5:39" x14ac:dyDescent="0.3">
      <c r="E106" s="7"/>
      <c r="F106" s="8"/>
      <c r="G106" s="8"/>
      <c r="H106" s="8"/>
      <c r="I106" s="8"/>
      <c r="J106" s="8"/>
      <c r="K106" s="9"/>
      <c r="M106" s="5"/>
      <c r="U106" s="6"/>
      <c r="W106" s="5"/>
      <c r="AH106" s="6"/>
    </row>
    <row r="107" spans="5:39" x14ac:dyDescent="0.3">
      <c r="M107" s="7"/>
      <c r="N107" s="8"/>
      <c r="O107" s="8"/>
      <c r="P107" s="8"/>
      <c r="Q107" s="8"/>
      <c r="R107" s="8"/>
      <c r="S107" s="8"/>
      <c r="T107" s="8"/>
      <c r="U107" s="9"/>
      <c r="W107" s="7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9"/>
    </row>
    <row r="110" spans="5:39" x14ac:dyDescent="0.3">
      <c r="E110" s="2"/>
      <c r="F110" s="3"/>
      <c r="G110" s="3"/>
      <c r="H110" s="3"/>
      <c r="I110" s="3"/>
      <c r="J110" s="3"/>
      <c r="K110" s="3"/>
      <c r="L110" s="3"/>
      <c r="M110" s="4"/>
      <c r="Q110" s="2"/>
      <c r="R110" s="3"/>
      <c r="S110" s="3"/>
      <c r="T110" s="3"/>
      <c r="U110" s="3"/>
      <c r="V110" s="3"/>
      <c r="W110" s="4"/>
      <c r="Y110" s="2"/>
      <c r="Z110" s="3"/>
      <c r="AA110" s="3"/>
      <c r="AB110" s="3"/>
      <c r="AC110" s="3"/>
      <c r="AD110" s="3"/>
      <c r="AE110" s="4"/>
      <c r="AG110" s="2"/>
      <c r="AH110" s="3"/>
      <c r="AI110" s="3"/>
      <c r="AJ110" s="3"/>
      <c r="AK110" s="3"/>
      <c r="AL110" s="3"/>
      <c r="AM110" s="4"/>
    </row>
    <row r="111" spans="5:39" x14ac:dyDescent="0.3">
      <c r="E111" s="5"/>
      <c r="M111" s="6"/>
      <c r="Q111" s="5"/>
      <c r="W111" s="6"/>
      <c r="Y111" s="5"/>
      <c r="AE111" s="6"/>
      <c r="AG111" s="5"/>
      <c r="AM111" s="6"/>
    </row>
    <row r="112" spans="5:39" x14ac:dyDescent="0.3">
      <c r="E112" s="5"/>
      <c r="F112" s="61" t="s">
        <v>282</v>
      </c>
      <c r="G112" s="61"/>
      <c r="H112" s="61"/>
      <c r="M112" s="6"/>
      <c r="Q112" s="5"/>
      <c r="R112" s="62" t="s">
        <v>294</v>
      </c>
      <c r="S112" s="62"/>
      <c r="W112" s="6"/>
      <c r="Y112" s="5"/>
      <c r="Z112" s="61" t="s">
        <v>295</v>
      </c>
      <c r="AA112" s="61"/>
      <c r="AE112" s="6"/>
      <c r="AG112" s="5"/>
      <c r="AH112" s="61" t="s">
        <v>296</v>
      </c>
      <c r="AI112" s="61"/>
      <c r="AM112" s="6"/>
    </row>
    <row r="113" spans="5:48" x14ac:dyDescent="0.3">
      <c r="E113" s="5"/>
      <c r="M113" s="6"/>
      <c r="Q113" s="5"/>
      <c r="W113" s="6"/>
      <c r="Y113" s="5"/>
      <c r="AE113" s="6"/>
      <c r="AG113" s="5"/>
      <c r="AM113" s="6"/>
    </row>
    <row r="114" spans="5:48" x14ac:dyDescent="0.3">
      <c r="E114" s="5"/>
      <c r="G114" s="1" t="s">
        <v>220</v>
      </c>
      <c r="H114" s="1" t="s">
        <v>221</v>
      </c>
      <c r="I114" s="1" t="s">
        <v>222</v>
      </c>
      <c r="J114" s="1" t="s">
        <v>224</v>
      </c>
      <c r="K114" s="1" t="s">
        <v>223</v>
      </c>
      <c r="M114" s="6"/>
      <c r="Q114" s="5"/>
      <c r="R114" s="1" t="s">
        <v>271</v>
      </c>
      <c r="S114" s="1">
        <v>0</v>
      </c>
      <c r="T114" s="1">
        <v>0</v>
      </c>
      <c r="U114" s="1">
        <v>0</v>
      </c>
      <c r="W114" s="6"/>
      <c r="Y114" s="5"/>
      <c r="Z114" s="1" t="s">
        <v>271</v>
      </c>
      <c r="AA114" s="1">
        <v>0</v>
      </c>
      <c r="AB114" s="1">
        <v>2</v>
      </c>
      <c r="AC114" s="1">
        <v>0</v>
      </c>
      <c r="AE114" s="6"/>
      <c r="AG114" s="5"/>
      <c r="AH114" s="1" t="s">
        <v>271</v>
      </c>
      <c r="AI114" s="1">
        <v>0</v>
      </c>
      <c r="AJ114" s="1">
        <v>2</v>
      </c>
      <c r="AK114" s="1">
        <v>0</v>
      </c>
      <c r="AM114" s="6"/>
    </row>
    <row r="115" spans="5:48" x14ac:dyDescent="0.3">
      <c r="E115" s="5"/>
      <c r="F115" s="1" t="s">
        <v>21</v>
      </c>
      <c r="G115" s="1">
        <v>30</v>
      </c>
      <c r="H115" s="1">
        <v>1</v>
      </c>
      <c r="I115" s="1">
        <v>0</v>
      </c>
      <c r="J115" t="str">
        <f t="shared" ref="J115:J120" si="0">IF(OR(G115=0, H115=0), 0, ROUND(H115/G115*100, 0)) &amp; "%"</f>
        <v>3%</v>
      </c>
      <c r="K115" t="str">
        <f t="shared" ref="K115:K120" si="1">IF(OR(G115=0, I115=0), 0, ROUND(I115/G115*100, 0)) &amp; "%"</f>
        <v>0%</v>
      </c>
      <c r="M115" s="6"/>
      <c r="Q115" s="5"/>
      <c r="R115" s="1" t="s">
        <v>270</v>
      </c>
      <c r="S115" s="1">
        <v>2</v>
      </c>
      <c r="T115" s="1">
        <v>2</v>
      </c>
      <c r="U115" s="1">
        <v>0</v>
      </c>
      <c r="W115" s="6"/>
      <c r="Y115" s="5"/>
      <c r="Z115" s="1" t="s">
        <v>270</v>
      </c>
      <c r="AA115" s="1">
        <v>0</v>
      </c>
      <c r="AB115" s="1">
        <v>1</v>
      </c>
      <c r="AC115" s="1">
        <v>0</v>
      </c>
      <c r="AE115" s="6"/>
      <c r="AG115" s="5"/>
      <c r="AH115" s="1" t="s">
        <v>270</v>
      </c>
      <c r="AI115" s="1">
        <v>2</v>
      </c>
      <c r="AJ115" s="1">
        <v>3</v>
      </c>
      <c r="AK115" s="1">
        <v>0</v>
      </c>
      <c r="AM115" s="6"/>
    </row>
    <row r="116" spans="5:48" x14ac:dyDescent="0.3">
      <c r="E116" s="5"/>
      <c r="F116" s="1" t="s">
        <v>107</v>
      </c>
      <c r="G116" s="1">
        <v>38</v>
      </c>
      <c r="H116" s="1">
        <v>7</v>
      </c>
      <c r="I116" s="1">
        <v>3</v>
      </c>
      <c r="J116" t="str">
        <f t="shared" si="0"/>
        <v>18%</v>
      </c>
      <c r="K116" t="str">
        <f t="shared" si="1"/>
        <v>8%</v>
      </c>
      <c r="M116" s="6"/>
      <c r="Q116" s="5"/>
      <c r="R116" s="1" t="s">
        <v>269</v>
      </c>
      <c r="S116" s="1">
        <v>0</v>
      </c>
      <c r="T116" s="1">
        <v>1</v>
      </c>
      <c r="U116" s="1">
        <v>0</v>
      </c>
      <c r="W116" s="6"/>
      <c r="Y116" s="5"/>
      <c r="Z116" s="1" t="s">
        <v>269</v>
      </c>
      <c r="AA116" s="1">
        <v>0</v>
      </c>
      <c r="AB116" s="1">
        <v>4</v>
      </c>
      <c r="AC116" s="1">
        <v>1</v>
      </c>
      <c r="AE116" s="6"/>
      <c r="AG116" s="5"/>
      <c r="AH116" s="1" t="s">
        <v>269</v>
      </c>
      <c r="AI116" s="1">
        <v>0</v>
      </c>
      <c r="AJ116" s="1">
        <v>5</v>
      </c>
      <c r="AK116" s="1">
        <v>1</v>
      </c>
      <c r="AM116" s="6"/>
    </row>
    <row r="117" spans="5:48" x14ac:dyDescent="0.3">
      <c r="E117" s="5"/>
      <c r="F117" s="1" t="s">
        <v>30</v>
      </c>
      <c r="G117" s="1">
        <v>22</v>
      </c>
      <c r="H117" s="1">
        <v>2</v>
      </c>
      <c r="I117" s="1">
        <v>0</v>
      </c>
      <c r="J117" t="str">
        <f t="shared" si="0"/>
        <v>9%</v>
      </c>
      <c r="K117" t="str">
        <f t="shared" si="1"/>
        <v>0%</v>
      </c>
      <c r="M117" s="6"/>
      <c r="Q117" s="5"/>
      <c r="R117" s="1" t="s">
        <v>268</v>
      </c>
      <c r="S117" s="1">
        <v>0</v>
      </c>
      <c r="T117" s="1">
        <v>3</v>
      </c>
      <c r="U117" s="1">
        <v>0</v>
      </c>
      <c r="W117" s="6"/>
      <c r="Y117" s="5"/>
      <c r="Z117" s="1" t="s">
        <v>268</v>
      </c>
      <c r="AA117" s="1">
        <v>1</v>
      </c>
      <c r="AB117" s="1">
        <v>5</v>
      </c>
      <c r="AC117" s="1">
        <v>0</v>
      </c>
      <c r="AE117" s="6"/>
      <c r="AG117" s="5"/>
      <c r="AH117" s="1" t="s">
        <v>268</v>
      </c>
      <c r="AI117" s="1">
        <v>1</v>
      </c>
      <c r="AJ117" s="1">
        <v>8</v>
      </c>
      <c r="AK117" s="1">
        <v>0</v>
      </c>
      <c r="AM117" s="6"/>
    </row>
    <row r="118" spans="5:48" x14ac:dyDescent="0.3">
      <c r="E118" s="5"/>
      <c r="F118" s="1" t="s">
        <v>28</v>
      </c>
      <c r="G118" s="1">
        <v>21</v>
      </c>
      <c r="H118" s="1">
        <v>3</v>
      </c>
      <c r="I118" s="1">
        <v>0</v>
      </c>
      <c r="J118" t="str">
        <f t="shared" si="0"/>
        <v>14%</v>
      </c>
      <c r="K118" t="str">
        <f t="shared" si="1"/>
        <v>0%</v>
      </c>
      <c r="M118" s="6"/>
      <c r="Q118" s="5"/>
      <c r="S118" s="1" t="s">
        <v>265</v>
      </c>
      <c r="T118" s="1" t="s">
        <v>266</v>
      </c>
      <c r="U118" s="1" t="s">
        <v>267</v>
      </c>
      <c r="W118" s="6"/>
      <c r="Y118" s="5"/>
      <c r="AA118" s="1" t="s">
        <v>265</v>
      </c>
      <c r="AB118" s="1" t="s">
        <v>266</v>
      </c>
      <c r="AC118" s="1" t="s">
        <v>267</v>
      </c>
      <c r="AE118" s="6"/>
      <c r="AG118" s="5"/>
      <c r="AI118" s="1" t="s">
        <v>265</v>
      </c>
      <c r="AJ118" s="1" t="s">
        <v>266</v>
      </c>
      <c r="AK118" s="1" t="s">
        <v>267</v>
      </c>
      <c r="AM118" s="6"/>
    </row>
    <row r="119" spans="5:48" x14ac:dyDescent="0.3">
      <c r="E119" s="5"/>
      <c r="F119" s="1" t="s">
        <v>292</v>
      </c>
      <c r="G119" s="1">
        <v>56</v>
      </c>
      <c r="H119" s="1">
        <v>3</v>
      </c>
      <c r="I119" s="1">
        <v>0</v>
      </c>
      <c r="J119" t="str">
        <f t="shared" si="0"/>
        <v>5%</v>
      </c>
      <c r="K119" t="str">
        <f t="shared" si="1"/>
        <v>0%</v>
      </c>
      <c r="M119" s="6"/>
      <c r="Q119" s="5"/>
      <c r="W119" s="6"/>
      <c r="Y119" s="5"/>
      <c r="AE119" s="6"/>
      <c r="AG119" s="5"/>
      <c r="AM119" s="6"/>
    </row>
    <row r="120" spans="5:48" x14ac:dyDescent="0.3">
      <c r="E120" s="5"/>
      <c r="F120" s="1" t="s">
        <v>293</v>
      </c>
      <c r="G120" s="1">
        <v>48</v>
      </c>
      <c r="H120" s="1">
        <v>4</v>
      </c>
      <c r="I120" s="1">
        <v>1</v>
      </c>
      <c r="J120" t="str">
        <f t="shared" si="0"/>
        <v>8%</v>
      </c>
      <c r="K120" t="str">
        <f t="shared" si="1"/>
        <v>2%</v>
      </c>
      <c r="M120" s="6"/>
      <c r="Q120" s="7"/>
      <c r="R120" s="8"/>
      <c r="S120" s="8"/>
      <c r="T120" s="8"/>
      <c r="U120" s="8"/>
      <c r="V120" s="8"/>
      <c r="W120" s="9"/>
      <c r="Y120" s="7"/>
      <c r="Z120" s="8"/>
      <c r="AA120" s="8"/>
      <c r="AB120" s="8"/>
      <c r="AC120" s="8"/>
      <c r="AD120" s="8"/>
      <c r="AE120" s="9"/>
      <c r="AG120" s="7"/>
      <c r="AH120" s="8"/>
      <c r="AI120" s="8"/>
      <c r="AJ120" s="8"/>
      <c r="AK120" s="8"/>
      <c r="AL120" s="8"/>
      <c r="AM120" s="9"/>
    </row>
    <row r="121" spans="5:48" x14ac:dyDescent="0.3">
      <c r="E121" s="7"/>
      <c r="F121" s="8"/>
      <c r="G121" s="8"/>
      <c r="H121" s="8"/>
      <c r="I121" s="8"/>
      <c r="J121" s="8"/>
      <c r="K121" s="8"/>
      <c r="L121" s="8"/>
      <c r="M121" s="9"/>
    </row>
    <row r="125" spans="5:48" x14ac:dyDescent="0.3">
      <c r="E125" s="2"/>
      <c r="F125" s="3"/>
      <c r="G125" s="3"/>
      <c r="H125" s="3"/>
      <c r="I125" s="3"/>
      <c r="J125" s="3"/>
      <c r="K125" s="3"/>
      <c r="L125" s="3"/>
      <c r="M125" s="3"/>
      <c r="N125" s="4"/>
      <c r="Q125" s="2"/>
      <c r="R125" s="3"/>
      <c r="S125" s="3"/>
      <c r="T125" s="3"/>
      <c r="U125" s="3"/>
      <c r="V125" s="3"/>
      <c r="W125" s="4"/>
      <c r="Y125" s="2"/>
      <c r="Z125" s="3"/>
      <c r="AA125" s="3"/>
      <c r="AB125" s="3"/>
      <c r="AC125" s="3"/>
      <c r="AD125" s="3"/>
      <c r="AE125" s="4"/>
      <c r="AG125" s="2"/>
      <c r="AH125" s="3"/>
      <c r="AI125" s="3"/>
      <c r="AJ125" s="3"/>
      <c r="AK125" s="3"/>
      <c r="AL125" s="3"/>
      <c r="AM125" s="4"/>
      <c r="AO125" s="2"/>
      <c r="AP125" s="3"/>
      <c r="AQ125" s="3"/>
      <c r="AR125" s="3"/>
      <c r="AS125" s="3"/>
      <c r="AT125" s="3"/>
      <c r="AU125" s="3"/>
      <c r="AV125" s="4"/>
    </row>
    <row r="126" spans="5:48" x14ac:dyDescent="0.3">
      <c r="E126" s="5"/>
      <c r="N126" s="6"/>
      <c r="Q126" s="5"/>
      <c r="W126" s="6"/>
      <c r="Y126" s="5"/>
      <c r="AE126" s="6"/>
      <c r="AG126" s="5"/>
      <c r="AM126" s="6"/>
      <c r="AO126" s="5"/>
      <c r="AV126" s="6"/>
    </row>
    <row r="127" spans="5:48" x14ac:dyDescent="0.3">
      <c r="E127" s="5"/>
      <c r="F127" s="61" t="s">
        <v>312</v>
      </c>
      <c r="G127" s="61"/>
      <c r="H127" s="61"/>
      <c r="I127" s="61"/>
      <c r="N127" s="6"/>
      <c r="Q127" s="5"/>
      <c r="R127" s="62" t="s">
        <v>297</v>
      </c>
      <c r="S127" s="62"/>
      <c r="W127" s="6"/>
      <c r="Y127" s="5"/>
      <c r="Z127" s="61" t="s">
        <v>298</v>
      </c>
      <c r="AA127" s="61"/>
      <c r="AE127" s="6"/>
      <c r="AG127" s="5"/>
      <c r="AH127" s="61" t="s">
        <v>299</v>
      </c>
      <c r="AI127" s="61"/>
      <c r="AM127" s="6"/>
      <c r="AO127" s="5"/>
      <c r="AP127" s="11" t="s">
        <v>313</v>
      </c>
      <c r="AV127" s="6"/>
    </row>
    <row r="128" spans="5:48" x14ac:dyDescent="0.3">
      <c r="E128" s="5"/>
      <c r="N128" s="6"/>
      <c r="Q128" s="5"/>
      <c r="W128" s="6"/>
      <c r="Y128" s="5"/>
      <c r="AE128" s="6"/>
      <c r="AG128" s="5"/>
      <c r="AM128" s="6"/>
      <c r="AO128" s="5"/>
      <c r="AQ128" s="1" t="s">
        <v>220</v>
      </c>
      <c r="AR128" s="1" t="s">
        <v>221</v>
      </c>
      <c r="AS128" s="1" t="s">
        <v>222</v>
      </c>
      <c r="AT128" s="1" t="s">
        <v>263</v>
      </c>
      <c r="AU128" s="1" t="s">
        <v>264</v>
      </c>
      <c r="AV128" s="6"/>
    </row>
    <row r="129" spans="5:50" x14ac:dyDescent="0.3">
      <c r="E129" s="5"/>
      <c r="G129" s="1" t="s">
        <v>220</v>
      </c>
      <c r="H129" s="1" t="s">
        <v>221</v>
      </c>
      <c r="I129" s="1" t="s">
        <v>222</v>
      </c>
      <c r="J129" s="1" t="s">
        <v>263</v>
      </c>
      <c r="K129" s="1" t="s">
        <v>264</v>
      </c>
      <c r="N129" s="6"/>
      <c r="Q129" s="5"/>
      <c r="R129" s="1" t="s">
        <v>271</v>
      </c>
      <c r="S129" s="1">
        <v>1</v>
      </c>
      <c r="T129" s="1">
        <v>5</v>
      </c>
      <c r="U129" s="1">
        <v>0</v>
      </c>
      <c r="W129" s="6"/>
      <c r="Y129" s="5"/>
      <c r="Z129" s="1" t="s">
        <v>271</v>
      </c>
      <c r="AA129" s="1">
        <v>0</v>
      </c>
      <c r="AB129" s="1">
        <v>5</v>
      </c>
      <c r="AC129" s="1">
        <v>2</v>
      </c>
      <c r="AE129" s="6"/>
      <c r="AG129" s="5"/>
      <c r="AH129" s="1" t="s">
        <v>271</v>
      </c>
      <c r="AI129" s="1">
        <v>1</v>
      </c>
      <c r="AJ129" s="1">
        <v>10</v>
      </c>
      <c r="AK129" s="1">
        <v>2</v>
      </c>
      <c r="AM129" s="6"/>
      <c r="AO129" s="5"/>
      <c r="AP129" s="1" t="s">
        <v>314</v>
      </c>
      <c r="AQ129" s="1">
        <v>9</v>
      </c>
      <c r="AR129" s="1">
        <v>0</v>
      </c>
      <c r="AS129" s="1">
        <v>0</v>
      </c>
      <c r="AT129" t="str">
        <f>IF(OR(AQ129=0, AR129=0), 0, ROUND(AR129/AQ129*100, 0)) &amp; "%"</f>
        <v>0%</v>
      </c>
      <c r="AU129" t="str">
        <f>IF(OR(AQ129=0, AS129=0), 0, ROUND(AS129/AQ129*100, 0)) &amp; "%"</f>
        <v>0%</v>
      </c>
      <c r="AV129" s="6"/>
    </row>
    <row r="130" spans="5:50" x14ac:dyDescent="0.3">
      <c r="E130" s="5"/>
      <c r="F130" s="1" t="s">
        <v>30</v>
      </c>
      <c r="G130">
        <v>22</v>
      </c>
      <c r="H130">
        <v>2</v>
      </c>
      <c r="I130">
        <v>0</v>
      </c>
      <c r="J130" t="str">
        <f>IF(OR(H130=0, G130=0), 0, ROUND(H130/G130*100, 0)) &amp; "%"</f>
        <v>9%</v>
      </c>
      <c r="K130" t="str">
        <f>IF(OR(I130=0, G130=0), 0, ROUND(I130/G130*100, 0)) &amp; "%"</f>
        <v>0%</v>
      </c>
      <c r="N130" s="6"/>
      <c r="Q130" s="5"/>
      <c r="R130" s="1" t="s">
        <v>270</v>
      </c>
      <c r="S130" s="1">
        <v>1</v>
      </c>
      <c r="T130" s="1">
        <v>1</v>
      </c>
      <c r="U130" s="1">
        <v>0</v>
      </c>
      <c r="W130" s="6"/>
      <c r="Y130" s="5"/>
      <c r="Z130" s="1" t="s">
        <v>270</v>
      </c>
      <c r="AA130" s="1">
        <v>2</v>
      </c>
      <c r="AB130" s="1">
        <v>5</v>
      </c>
      <c r="AC130" s="1">
        <v>3</v>
      </c>
      <c r="AE130" s="6"/>
      <c r="AG130" s="5"/>
      <c r="AH130" s="1" t="s">
        <v>270</v>
      </c>
      <c r="AI130" s="1">
        <v>3</v>
      </c>
      <c r="AJ130" s="1">
        <v>6</v>
      </c>
      <c r="AK130" s="1">
        <v>3</v>
      </c>
      <c r="AM130" s="6"/>
      <c r="AO130" s="5"/>
      <c r="AP130" s="1" t="s">
        <v>315</v>
      </c>
      <c r="AQ130" s="1">
        <v>11</v>
      </c>
      <c r="AR130" s="1">
        <v>0</v>
      </c>
      <c r="AS130" s="1">
        <v>0</v>
      </c>
      <c r="AT130" t="str">
        <f t="shared" ref="AT130:AT134" si="2">IF(OR(AQ130=0, AR130=0), 0, ROUND(AR130/AQ130*100, 0)) &amp; "%"</f>
        <v>0%</v>
      </c>
      <c r="AU130" t="str">
        <f t="shared" ref="AU130:AU134" si="3">IF(OR(AQ130=0, AS130=0), 0, ROUND(AS130/AQ130*100, 0)) &amp; "%"</f>
        <v>0%</v>
      </c>
      <c r="AV130" s="6"/>
    </row>
    <row r="131" spans="5:50" x14ac:dyDescent="0.3">
      <c r="E131" s="5"/>
      <c r="F131" s="1" t="s">
        <v>107</v>
      </c>
      <c r="G131">
        <v>38</v>
      </c>
      <c r="H131">
        <v>7</v>
      </c>
      <c r="I131">
        <v>3</v>
      </c>
      <c r="J131" t="str">
        <f>IF(OR(H131=0, G131=0), 0, ROUND(H131/G131*100, 0)) &amp; "%"</f>
        <v>18%</v>
      </c>
      <c r="K131" t="str">
        <f>IF(OR(I131=0, G131=0), 0, ROUND(I131/G131*100, 0)) &amp; "%"</f>
        <v>8%</v>
      </c>
      <c r="N131" s="6"/>
      <c r="Q131" s="5"/>
      <c r="R131" s="1" t="s">
        <v>269</v>
      </c>
      <c r="S131" s="1">
        <v>2</v>
      </c>
      <c r="T131" s="1">
        <v>2</v>
      </c>
      <c r="U131" s="1">
        <v>1</v>
      </c>
      <c r="W131" s="6"/>
      <c r="Y131" s="5"/>
      <c r="Z131" s="1" t="s">
        <v>269</v>
      </c>
      <c r="AA131" s="1">
        <v>0</v>
      </c>
      <c r="AB131" s="1">
        <v>4</v>
      </c>
      <c r="AC131" s="1">
        <v>0</v>
      </c>
      <c r="AE131" s="6"/>
      <c r="AG131" s="5"/>
      <c r="AH131" s="1" t="s">
        <v>269</v>
      </c>
      <c r="AI131" s="1">
        <v>2</v>
      </c>
      <c r="AJ131" s="1">
        <v>6</v>
      </c>
      <c r="AK131" s="1">
        <v>1</v>
      </c>
      <c r="AM131" s="6"/>
      <c r="AO131" s="5"/>
      <c r="AP131" s="1" t="s">
        <v>316</v>
      </c>
      <c r="AQ131" s="1">
        <v>0</v>
      </c>
      <c r="AR131" s="1">
        <v>2</v>
      </c>
      <c r="AS131" s="1">
        <v>0</v>
      </c>
      <c r="AT131" t="str">
        <f t="shared" si="2"/>
        <v>0%</v>
      </c>
      <c r="AU131" t="str">
        <f t="shared" si="3"/>
        <v>0%</v>
      </c>
      <c r="AV131" s="6"/>
    </row>
    <row r="132" spans="5:50" x14ac:dyDescent="0.3">
      <c r="E132" s="5"/>
      <c r="N132" s="6"/>
      <c r="Q132" s="5"/>
      <c r="R132" s="1" t="s">
        <v>268</v>
      </c>
      <c r="S132" s="1">
        <v>0</v>
      </c>
      <c r="T132" s="1">
        <v>2</v>
      </c>
      <c r="U132" s="1">
        <v>0</v>
      </c>
      <c r="W132" s="6"/>
      <c r="Y132" s="5"/>
      <c r="Z132" s="1" t="s">
        <v>268</v>
      </c>
      <c r="AA132" s="1">
        <v>0</v>
      </c>
      <c r="AB132" s="1">
        <v>2</v>
      </c>
      <c r="AC132" s="1">
        <v>0</v>
      </c>
      <c r="AE132" s="6"/>
      <c r="AG132" s="5"/>
      <c r="AH132" s="1" t="s">
        <v>268</v>
      </c>
      <c r="AI132" s="1">
        <v>0</v>
      </c>
      <c r="AJ132" s="1">
        <v>4</v>
      </c>
      <c r="AK132" s="1">
        <v>0</v>
      </c>
      <c r="AM132" s="6"/>
      <c r="AO132" s="5"/>
      <c r="AP132" s="1" t="s">
        <v>317</v>
      </c>
      <c r="AQ132" s="1">
        <v>2</v>
      </c>
      <c r="AR132" s="1">
        <v>1</v>
      </c>
      <c r="AS132" s="1">
        <v>1</v>
      </c>
      <c r="AT132" t="str">
        <f t="shared" si="2"/>
        <v>50%</v>
      </c>
      <c r="AU132" t="str">
        <f t="shared" si="3"/>
        <v>50%</v>
      </c>
      <c r="AV132" s="6"/>
    </row>
    <row r="133" spans="5:50" x14ac:dyDescent="0.3">
      <c r="E133" s="5"/>
      <c r="N133" s="6"/>
      <c r="Q133" s="5"/>
      <c r="S133" s="1" t="s">
        <v>265</v>
      </c>
      <c r="T133" s="1" t="s">
        <v>266</v>
      </c>
      <c r="U133" s="1" t="s">
        <v>267</v>
      </c>
      <c r="W133" s="6"/>
      <c r="Y133" s="5"/>
      <c r="AA133" s="1" t="s">
        <v>265</v>
      </c>
      <c r="AB133" s="1" t="s">
        <v>266</v>
      </c>
      <c r="AC133" s="1" t="s">
        <v>267</v>
      </c>
      <c r="AE133" s="6"/>
      <c r="AG133" s="5"/>
      <c r="AI133" s="1" t="s">
        <v>265</v>
      </c>
      <c r="AJ133" s="1" t="s">
        <v>266</v>
      </c>
      <c r="AK133" s="1" t="s">
        <v>267</v>
      </c>
      <c r="AM133" s="6"/>
      <c r="AO133" s="5"/>
      <c r="AP133" s="1" t="s">
        <v>318</v>
      </c>
      <c r="AQ133" s="1">
        <v>18</v>
      </c>
      <c r="AR133" s="1">
        <v>2</v>
      </c>
      <c r="AS133" s="1">
        <v>1</v>
      </c>
      <c r="AT133" t="str">
        <f t="shared" si="2"/>
        <v>11%</v>
      </c>
      <c r="AU133" t="str">
        <f t="shared" si="3"/>
        <v>6%</v>
      </c>
      <c r="AV133" s="6"/>
    </row>
    <row r="134" spans="5:50" x14ac:dyDescent="0.3">
      <c r="E134" s="5"/>
      <c r="N134" s="6"/>
      <c r="Q134" s="5"/>
      <c r="W134" s="6"/>
      <c r="Y134" s="5"/>
      <c r="AE134" s="6"/>
      <c r="AG134" s="5"/>
      <c r="AM134" s="6"/>
      <c r="AO134" s="5"/>
      <c r="AP134" s="1" t="s">
        <v>319</v>
      </c>
      <c r="AQ134" s="1">
        <v>11</v>
      </c>
      <c r="AR134" s="1">
        <v>1</v>
      </c>
      <c r="AS134" s="1">
        <v>1</v>
      </c>
      <c r="AT134" t="str">
        <f t="shared" si="2"/>
        <v>9%</v>
      </c>
      <c r="AU134" t="str">
        <f t="shared" si="3"/>
        <v>9%</v>
      </c>
      <c r="AV134" s="6"/>
    </row>
    <row r="135" spans="5:50" x14ac:dyDescent="0.3">
      <c r="E135" s="7"/>
      <c r="F135" s="8"/>
      <c r="G135" s="8"/>
      <c r="H135" s="8"/>
      <c r="I135" s="8"/>
      <c r="J135" s="8"/>
      <c r="K135" s="8"/>
      <c r="L135" s="8"/>
      <c r="M135" s="8"/>
      <c r="N135" s="9"/>
      <c r="Q135" s="7"/>
      <c r="R135" s="8"/>
      <c r="S135" s="8"/>
      <c r="T135" s="8"/>
      <c r="U135" s="8"/>
      <c r="V135" s="8"/>
      <c r="W135" s="9"/>
      <c r="Y135" s="7"/>
      <c r="Z135" s="8"/>
      <c r="AA135" s="8"/>
      <c r="AB135" s="8"/>
      <c r="AC135" s="8"/>
      <c r="AD135" s="8"/>
      <c r="AE135" s="9"/>
      <c r="AG135" s="7"/>
      <c r="AH135" s="8"/>
      <c r="AI135" s="8"/>
      <c r="AJ135" s="8"/>
      <c r="AK135" s="8"/>
      <c r="AL135" s="8"/>
      <c r="AM135" s="9"/>
      <c r="AO135" s="5"/>
      <c r="AV135" s="6"/>
    </row>
    <row r="136" spans="5:50" x14ac:dyDescent="0.3">
      <c r="AO136" s="7"/>
      <c r="AP136" s="8"/>
      <c r="AQ136" s="8"/>
      <c r="AR136" s="8"/>
      <c r="AS136" s="8"/>
      <c r="AT136" s="8"/>
      <c r="AU136" s="8"/>
      <c r="AV136" s="9"/>
    </row>
    <row r="139" spans="5:50" x14ac:dyDescent="0.3">
      <c r="E139" s="2"/>
      <c r="F139" s="3"/>
      <c r="G139" s="3"/>
      <c r="H139" s="3"/>
      <c r="I139" s="3"/>
      <c r="J139" s="3"/>
      <c r="K139" s="3"/>
      <c r="L139" s="3"/>
      <c r="M139" s="3"/>
      <c r="N139" s="4"/>
      <c r="Q139" s="2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4"/>
    </row>
    <row r="140" spans="5:50" x14ac:dyDescent="0.3">
      <c r="E140" s="5"/>
      <c r="N140" s="6"/>
      <c r="Q140" s="5"/>
      <c r="AB140" s="6"/>
      <c r="AX140"/>
    </row>
    <row r="141" spans="5:50" x14ac:dyDescent="0.3">
      <c r="E141" s="5"/>
      <c r="F141" s="61" t="s">
        <v>284</v>
      </c>
      <c r="G141" s="61"/>
      <c r="H141" s="61"/>
      <c r="N141" s="6"/>
      <c r="Q141" s="5"/>
      <c r="R141" s="61" t="s">
        <v>283</v>
      </c>
      <c r="S141" s="61"/>
      <c r="T141" s="61"/>
      <c r="AB141" s="6"/>
      <c r="AX141"/>
    </row>
    <row r="142" spans="5:50" x14ac:dyDescent="0.3">
      <c r="E142" s="5"/>
      <c r="N142" s="6"/>
      <c r="Q142" s="5"/>
      <c r="AB142" s="6"/>
    </row>
    <row r="143" spans="5:50" x14ac:dyDescent="0.3">
      <c r="E143" s="5"/>
      <c r="G143" s="1" t="s">
        <v>220</v>
      </c>
      <c r="H143" s="1" t="s">
        <v>290</v>
      </c>
      <c r="I143" s="1" t="s">
        <v>291</v>
      </c>
      <c r="J143" s="1" t="s">
        <v>229</v>
      </c>
      <c r="K143" s="1" t="s">
        <v>230</v>
      </c>
      <c r="L143" s="1" t="s">
        <v>231</v>
      </c>
      <c r="M143" s="1" t="s">
        <v>243</v>
      </c>
      <c r="N143" s="6"/>
      <c r="Q143" s="5"/>
      <c r="T143" s="1" t="s">
        <v>259</v>
      </c>
      <c r="U143" s="1" t="s">
        <v>249</v>
      </c>
      <c r="V143" s="1" t="s">
        <v>260</v>
      </c>
      <c r="W143" s="1" t="s">
        <v>261</v>
      </c>
      <c r="X143" s="1" t="s">
        <v>243</v>
      </c>
      <c r="Y143" s="1" t="s">
        <v>262</v>
      </c>
      <c r="Z143" s="1" t="s">
        <v>253</v>
      </c>
      <c r="AB143" s="6"/>
    </row>
    <row r="144" spans="5:50" x14ac:dyDescent="0.3">
      <c r="E144" s="5"/>
      <c r="F144" s="1" t="s">
        <v>232</v>
      </c>
      <c r="N144" s="6"/>
      <c r="Q144" s="5"/>
      <c r="S144" s="1" t="s">
        <v>255</v>
      </c>
      <c r="AB144" s="6"/>
    </row>
    <row r="145" spans="5:28" x14ac:dyDescent="0.3">
      <c r="E145" s="5"/>
      <c r="F145" s="1" t="s">
        <v>233</v>
      </c>
      <c r="N145" s="6"/>
      <c r="Q145" s="5"/>
      <c r="S145" s="1" t="s">
        <v>256</v>
      </c>
      <c r="AB145" s="6"/>
    </row>
    <row r="146" spans="5:28" x14ac:dyDescent="0.3">
      <c r="E146" s="5"/>
      <c r="F146" s="1" t="s">
        <v>234</v>
      </c>
      <c r="N146" s="6"/>
      <c r="Q146" s="5"/>
      <c r="S146" s="1" t="s">
        <v>257</v>
      </c>
      <c r="AB146" s="6"/>
    </row>
    <row r="147" spans="5:28" x14ac:dyDescent="0.3">
      <c r="E147" s="5"/>
      <c r="F147" s="1" t="s">
        <v>235</v>
      </c>
      <c r="N147" s="6"/>
      <c r="Q147" s="5"/>
      <c r="S147" s="1" t="s">
        <v>258</v>
      </c>
      <c r="AB147" s="6"/>
    </row>
    <row r="148" spans="5:28" x14ac:dyDescent="0.3">
      <c r="E148" s="5"/>
      <c r="F148" s="1" t="s">
        <v>236</v>
      </c>
      <c r="N148" s="6"/>
      <c r="Q148" s="5"/>
      <c r="AB148" s="6"/>
    </row>
    <row r="149" spans="5:28" x14ac:dyDescent="0.3">
      <c r="E149" s="5"/>
      <c r="F149" s="1" t="s">
        <v>237</v>
      </c>
      <c r="N149" s="6"/>
      <c r="Q149" s="7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9"/>
    </row>
    <row r="150" spans="5:28" x14ac:dyDescent="0.3">
      <c r="E150" s="5"/>
      <c r="F150" s="1" t="s">
        <v>238</v>
      </c>
      <c r="N150" s="6"/>
    </row>
    <row r="151" spans="5:28" x14ac:dyDescent="0.3">
      <c r="E151" s="5"/>
      <c r="F151" s="1" t="s">
        <v>239</v>
      </c>
      <c r="N151" s="6"/>
    </row>
    <row r="152" spans="5:28" x14ac:dyDescent="0.3">
      <c r="E152" s="5"/>
      <c r="N152" s="6"/>
    </row>
    <row r="153" spans="5:28" x14ac:dyDescent="0.3">
      <c r="E153" s="5"/>
      <c r="G153" s="1" t="s">
        <v>220</v>
      </c>
      <c r="H153" s="1" t="s">
        <v>290</v>
      </c>
      <c r="I153" s="1" t="s">
        <v>291</v>
      </c>
      <c r="J153" s="1" t="s">
        <v>229</v>
      </c>
      <c r="K153" s="1" t="s">
        <v>230</v>
      </c>
      <c r="L153" s="1" t="s">
        <v>231</v>
      </c>
      <c r="M153" s="1" t="s">
        <v>243</v>
      </c>
      <c r="N153" s="6"/>
    </row>
    <row r="154" spans="5:28" x14ac:dyDescent="0.3">
      <c r="E154" s="5"/>
      <c r="F154" s="1" t="s">
        <v>240</v>
      </c>
      <c r="N154" s="6"/>
    </row>
    <row r="155" spans="5:28" x14ac:dyDescent="0.3">
      <c r="E155" s="5"/>
      <c r="F155" s="1" t="s">
        <v>241</v>
      </c>
      <c r="N155" s="6"/>
    </row>
    <row r="156" spans="5:28" x14ac:dyDescent="0.3">
      <c r="E156" s="5"/>
      <c r="F156" s="1" t="s">
        <v>242</v>
      </c>
      <c r="N156" s="6"/>
    </row>
    <row r="157" spans="5:28" x14ac:dyDescent="0.3">
      <c r="E157" s="5"/>
      <c r="F157" s="1" t="s">
        <v>233</v>
      </c>
      <c r="N157" s="6"/>
    </row>
    <row r="158" spans="5:28" x14ac:dyDescent="0.3">
      <c r="E158" s="5"/>
      <c r="F158" s="1" t="s">
        <v>244</v>
      </c>
      <c r="N158" s="6"/>
    </row>
    <row r="159" spans="5:28" x14ac:dyDescent="0.3">
      <c r="E159" s="5"/>
      <c r="F159" s="1" t="s">
        <v>245</v>
      </c>
      <c r="N159" s="6"/>
    </row>
    <row r="160" spans="5:28" x14ac:dyDescent="0.3">
      <c r="E160" s="5"/>
      <c r="F160" s="1" t="s">
        <v>246</v>
      </c>
      <c r="N160" s="6"/>
    </row>
    <row r="161" spans="5:14" x14ac:dyDescent="0.3">
      <c r="E161" s="5"/>
      <c r="F161" s="1" t="s">
        <v>237</v>
      </c>
      <c r="N161" s="6"/>
    </row>
    <row r="162" spans="5:14" x14ac:dyDescent="0.3">
      <c r="E162" s="5"/>
      <c r="N162" s="6"/>
    </row>
    <row r="163" spans="5:14" x14ac:dyDescent="0.3">
      <c r="E163" s="7"/>
      <c r="F163" s="8"/>
      <c r="G163" s="8"/>
      <c r="H163" s="8"/>
      <c r="I163" s="8"/>
      <c r="J163" s="8"/>
      <c r="K163" s="8"/>
      <c r="L163" s="8"/>
      <c r="M163" s="8"/>
      <c r="N163" s="9"/>
    </row>
  </sheetData>
  <mergeCells count="19">
    <mergeCell ref="AH112:AI112"/>
    <mergeCell ref="AH127:AI127"/>
    <mergeCell ref="F17:H17"/>
    <mergeCell ref="F29:H29"/>
    <mergeCell ref="M29:O29"/>
    <mergeCell ref="F58:G58"/>
    <mergeCell ref="F88:H88"/>
    <mergeCell ref="N88:P88"/>
    <mergeCell ref="R141:T141"/>
    <mergeCell ref="F141:H141"/>
    <mergeCell ref="F127:I127"/>
    <mergeCell ref="F112:H112"/>
    <mergeCell ref="X88:Z88"/>
    <mergeCell ref="R127:S127"/>
    <mergeCell ref="Z127:AA127"/>
    <mergeCell ref="O90:T90"/>
    <mergeCell ref="O98:T98"/>
    <mergeCell ref="R112:S112"/>
    <mergeCell ref="Z112:AA112"/>
  </mergeCells>
  <pageMargins left="0.7" right="0.7" top="0.75" bottom="0.75" header="0.3" footer="0.3"/>
  <pageSetup orientation="portrait" r:id="rId1"/>
  <ignoredErrors>
    <ignoredError sqref="F34 R62 L62 F62" twoDigitTextYea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8C3A5-D31C-4B9A-A843-B258D47C7E5C}">
  <sheetPr codeName="Sheet3"/>
  <dimension ref="A1:AG191"/>
  <sheetViews>
    <sheetView showGridLines="0" tabSelected="1" view="pageBreakPreview" zoomScale="85" zoomScaleNormal="55" zoomScaleSheetLayoutView="85" zoomScalePageLayoutView="85" workbookViewId="0">
      <selection activeCell="N189" sqref="N189"/>
    </sheetView>
  </sheetViews>
  <sheetFormatPr defaultRowHeight="14.4" x14ac:dyDescent="0.3"/>
  <sheetData>
    <row r="1" spans="1:33" x14ac:dyDescent="0.3">
      <c r="A1" s="35"/>
      <c r="B1" s="36"/>
      <c r="C1" s="36"/>
      <c r="D1" s="36"/>
      <c r="E1" s="36"/>
      <c r="F1" s="36"/>
      <c r="G1" s="36"/>
      <c r="H1" s="36"/>
      <c r="I1" s="36"/>
      <c r="J1" s="36"/>
      <c r="K1" s="37"/>
      <c r="L1" s="35"/>
      <c r="M1" s="36"/>
      <c r="N1" s="36"/>
      <c r="O1" s="36"/>
      <c r="P1" s="36"/>
      <c r="Q1" s="36"/>
      <c r="R1" s="36"/>
      <c r="S1" s="36"/>
      <c r="T1" s="36"/>
      <c r="U1" s="36"/>
      <c r="V1" s="37"/>
      <c r="W1" s="35"/>
      <c r="X1" s="36"/>
      <c r="Y1" s="36"/>
      <c r="Z1" s="36"/>
      <c r="AA1" s="36"/>
      <c r="AB1" s="36"/>
      <c r="AC1" s="36"/>
      <c r="AD1" s="36"/>
      <c r="AE1" s="36"/>
      <c r="AF1" s="36"/>
      <c r="AG1" s="37"/>
    </row>
    <row r="2" spans="1:33" x14ac:dyDescent="0.3">
      <c r="A2" s="38"/>
      <c r="K2" s="39"/>
      <c r="L2" s="38"/>
      <c r="V2" s="39"/>
      <c r="W2" s="38"/>
      <c r="AG2" s="39"/>
    </row>
    <row r="3" spans="1:33" x14ac:dyDescent="0.3">
      <c r="A3" s="38"/>
      <c r="K3" s="39"/>
      <c r="L3" s="38"/>
      <c r="V3" s="39"/>
      <c r="W3" s="38"/>
      <c r="AG3" s="39"/>
    </row>
    <row r="4" spans="1:33" x14ac:dyDescent="0.3">
      <c r="A4" s="38"/>
      <c r="K4" s="39"/>
      <c r="L4" s="38"/>
      <c r="V4" s="39"/>
      <c r="W4" s="38"/>
      <c r="AG4" s="39"/>
    </row>
    <row r="5" spans="1:33" x14ac:dyDescent="0.3">
      <c r="A5" s="38"/>
      <c r="K5" s="39"/>
      <c r="L5" s="38"/>
      <c r="V5" s="39"/>
      <c r="W5" s="38"/>
      <c r="AG5" s="39"/>
    </row>
    <row r="6" spans="1:33" x14ac:dyDescent="0.3">
      <c r="A6" s="38"/>
      <c r="K6" s="39"/>
      <c r="L6" s="38"/>
      <c r="V6" s="39"/>
      <c r="W6" s="38"/>
      <c r="AG6" s="39"/>
    </row>
    <row r="7" spans="1:33" x14ac:dyDescent="0.3">
      <c r="A7" s="38"/>
      <c r="K7" s="39"/>
      <c r="L7" s="38"/>
      <c r="V7" s="39"/>
      <c r="W7" s="38"/>
      <c r="AG7" s="39"/>
    </row>
    <row r="8" spans="1:33" x14ac:dyDescent="0.3">
      <c r="A8" s="38"/>
      <c r="K8" s="39"/>
      <c r="L8" s="38"/>
      <c r="V8" s="39"/>
      <c r="W8" s="38"/>
      <c r="AG8" s="39"/>
    </row>
    <row r="9" spans="1:33" x14ac:dyDescent="0.3">
      <c r="A9" s="38"/>
      <c r="K9" s="39"/>
      <c r="L9" s="38"/>
      <c r="V9" s="39"/>
      <c r="W9" s="38"/>
      <c r="AG9" s="39"/>
    </row>
    <row r="10" spans="1:33" x14ac:dyDescent="0.3">
      <c r="A10" s="38"/>
      <c r="K10" s="39"/>
      <c r="L10" s="38"/>
      <c r="V10" s="39"/>
      <c r="W10" s="38"/>
      <c r="AG10" s="39"/>
    </row>
    <row r="11" spans="1:33" x14ac:dyDescent="0.3">
      <c r="A11" s="38"/>
      <c r="K11" s="39"/>
      <c r="L11" s="38"/>
      <c r="V11" s="39"/>
      <c r="W11" s="38"/>
      <c r="AG11" s="39"/>
    </row>
    <row r="12" spans="1:33" x14ac:dyDescent="0.3">
      <c r="A12" s="38"/>
      <c r="K12" s="39"/>
      <c r="L12" s="38"/>
      <c r="V12" s="39"/>
      <c r="W12" s="38"/>
      <c r="AG12" s="39"/>
    </row>
    <row r="13" spans="1:33" x14ac:dyDescent="0.3">
      <c r="A13" s="38"/>
      <c r="K13" s="39"/>
      <c r="L13" s="38"/>
      <c r="V13" s="39"/>
      <c r="W13" s="38"/>
      <c r="AG13" s="39"/>
    </row>
    <row r="14" spans="1:33" x14ac:dyDescent="0.3">
      <c r="A14" s="38"/>
      <c r="K14" s="39"/>
      <c r="L14" s="38"/>
      <c r="V14" s="39"/>
      <c r="W14" s="38"/>
      <c r="AG14" s="39"/>
    </row>
    <row r="15" spans="1:33" x14ac:dyDescent="0.3">
      <c r="A15" s="38"/>
      <c r="K15" s="39"/>
      <c r="L15" s="38"/>
      <c r="V15" s="39"/>
      <c r="W15" s="38"/>
      <c r="AG15" s="39"/>
    </row>
    <row r="16" spans="1:33" x14ac:dyDescent="0.3">
      <c r="A16" s="38"/>
      <c r="K16" s="39"/>
      <c r="L16" s="38"/>
      <c r="V16" s="39"/>
      <c r="W16" s="38"/>
      <c r="AG16" s="39"/>
    </row>
    <row r="17" spans="1:33" x14ac:dyDescent="0.3">
      <c r="A17" s="38"/>
      <c r="K17" s="39"/>
      <c r="L17" s="38"/>
      <c r="V17" s="39"/>
      <c r="W17" s="38"/>
      <c r="AG17" s="39"/>
    </row>
    <row r="18" spans="1:33" x14ac:dyDescent="0.3">
      <c r="A18" s="38"/>
      <c r="K18" s="39"/>
      <c r="L18" s="38"/>
      <c r="V18" s="39"/>
      <c r="W18" s="38"/>
      <c r="AG18" s="39"/>
    </row>
    <row r="19" spans="1:33" x14ac:dyDescent="0.3">
      <c r="A19" s="38"/>
      <c r="K19" s="39"/>
      <c r="L19" s="38"/>
      <c r="V19" s="39"/>
      <c r="W19" s="38"/>
      <c r="AG19" s="39"/>
    </row>
    <row r="20" spans="1:33" x14ac:dyDescent="0.3">
      <c r="A20" s="38"/>
      <c r="K20" s="39"/>
      <c r="L20" s="38"/>
      <c r="V20" s="39"/>
      <c r="W20" s="38"/>
      <c r="AG20" s="39"/>
    </row>
    <row r="21" spans="1:33" x14ac:dyDescent="0.3">
      <c r="A21" s="38"/>
      <c r="K21" s="39"/>
      <c r="L21" s="38"/>
      <c r="V21" s="39"/>
      <c r="W21" s="38"/>
      <c r="AG21" s="39"/>
    </row>
    <row r="22" spans="1:33" x14ac:dyDescent="0.3">
      <c r="A22" s="38"/>
      <c r="K22" s="39"/>
      <c r="L22" s="38"/>
      <c r="V22" s="39"/>
      <c r="W22" s="38"/>
      <c r="AG22" s="39"/>
    </row>
    <row r="23" spans="1:33" x14ac:dyDescent="0.3">
      <c r="A23" s="38"/>
      <c r="K23" s="39"/>
      <c r="L23" s="38"/>
      <c r="V23" s="39"/>
      <c r="W23" s="38"/>
      <c r="AG23" s="39"/>
    </row>
    <row r="24" spans="1:33" x14ac:dyDescent="0.3">
      <c r="A24" s="38"/>
      <c r="K24" s="39"/>
      <c r="L24" s="38"/>
      <c r="V24" s="39"/>
      <c r="W24" s="38"/>
      <c r="AG24" s="39"/>
    </row>
    <row r="25" spans="1:33" x14ac:dyDescent="0.3">
      <c r="A25" s="38"/>
      <c r="K25" s="39"/>
      <c r="L25" s="38"/>
      <c r="V25" s="39"/>
      <c r="W25" s="38"/>
      <c r="AG25" s="39"/>
    </row>
    <row r="26" spans="1:33" x14ac:dyDescent="0.3">
      <c r="A26" s="38"/>
      <c r="K26" s="39"/>
      <c r="L26" s="38"/>
      <c r="V26" s="39"/>
      <c r="W26" s="38"/>
      <c r="AG26" s="39"/>
    </row>
    <row r="27" spans="1:33" x14ac:dyDescent="0.3">
      <c r="A27" s="38"/>
      <c r="K27" s="39"/>
      <c r="L27" s="38"/>
      <c r="V27" s="39"/>
      <c r="W27" s="38"/>
      <c r="AG27" s="39"/>
    </row>
    <row r="28" spans="1:33" x14ac:dyDescent="0.3">
      <c r="A28" s="38"/>
      <c r="K28" s="39"/>
      <c r="L28" s="38"/>
      <c r="V28" s="39"/>
      <c r="W28" s="38"/>
      <c r="AG28" s="39"/>
    </row>
    <row r="29" spans="1:33" x14ac:dyDescent="0.3">
      <c r="A29" s="38"/>
      <c r="K29" s="39"/>
      <c r="L29" s="38"/>
      <c r="V29" s="39"/>
      <c r="W29" s="38"/>
      <c r="AG29" s="39"/>
    </row>
    <row r="30" spans="1:33" x14ac:dyDescent="0.3">
      <c r="A30" s="38"/>
      <c r="K30" s="39"/>
      <c r="L30" s="38"/>
      <c r="V30" s="39"/>
      <c r="W30" s="38"/>
      <c r="AG30" s="39"/>
    </row>
    <row r="31" spans="1:33" x14ac:dyDescent="0.3">
      <c r="A31" s="38"/>
      <c r="K31" s="39"/>
      <c r="L31" s="38"/>
      <c r="V31" s="39"/>
      <c r="W31" s="38"/>
      <c r="AG31" s="39"/>
    </row>
    <row r="32" spans="1:33" x14ac:dyDescent="0.3">
      <c r="A32" s="38"/>
      <c r="K32" s="39"/>
      <c r="L32" s="38"/>
      <c r="V32" s="39"/>
      <c r="W32" s="38"/>
      <c r="AG32" s="39"/>
    </row>
    <row r="33" spans="1:33" x14ac:dyDescent="0.3">
      <c r="A33" s="38"/>
      <c r="K33" s="39"/>
      <c r="L33" s="38"/>
      <c r="V33" s="39"/>
      <c r="W33" s="38"/>
      <c r="AG33" s="39"/>
    </row>
    <row r="34" spans="1:33" x14ac:dyDescent="0.3">
      <c r="A34" s="38"/>
      <c r="K34" s="39"/>
      <c r="L34" s="38"/>
      <c r="V34" s="39"/>
      <c r="W34" s="38"/>
      <c r="AG34" s="39"/>
    </row>
    <row r="35" spans="1:33" x14ac:dyDescent="0.3">
      <c r="A35" s="38"/>
      <c r="K35" s="39"/>
      <c r="L35" s="38"/>
      <c r="V35" s="39"/>
      <c r="W35" s="38"/>
      <c r="AG35" s="39"/>
    </row>
    <row r="36" spans="1:33" x14ac:dyDescent="0.3">
      <c r="A36" s="38"/>
      <c r="K36" s="39"/>
      <c r="L36" s="38"/>
      <c r="V36" s="39"/>
      <c r="W36" s="38"/>
      <c r="AG36" s="39"/>
    </row>
    <row r="37" spans="1:33" x14ac:dyDescent="0.3">
      <c r="A37" s="38"/>
      <c r="K37" s="39"/>
      <c r="L37" s="38"/>
      <c r="V37" s="39"/>
      <c r="W37" s="38"/>
      <c r="AG37" s="39"/>
    </row>
    <row r="38" spans="1:33" x14ac:dyDescent="0.3">
      <c r="A38" s="38"/>
      <c r="K38" s="39"/>
      <c r="L38" s="38"/>
      <c r="V38" s="39"/>
      <c r="W38" s="38"/>
      <c r="AG38" s="39"/>
    </row>
    <row r="39" spans="1:33" x14ac:dyDescent="0.3">
      <c r="A39" s="38"/>
      <c r="K39" s="39"/>
      <c r="L39" s="38"/>
      <c r="V39" s="39"/>
      <c r="W39" s="38"/>
      <c r="AG39" s="39"/>
    </row>
    <row r="40" spans="1:33" x14ac:dyDescent="0.3">
      <c r="A40" s="38"/>
      <c r="K40" s="39"/>
      <c r="L40" s="38"/>
      <c r="V40" s="39"/>
      <c r="W40" s="38"/>
      <c r="AG40" s="39"/>
    </row>
    <row r="41" spans="1:33" x14ac:dyDescent="0.3">
      <c r="A41" s="38"/>
      <c r="K41" s="39"/>
      <c r="L41" s="38"/>
      <c r="V41" s="39"/>
      <c r="W41" s="38"/>
      <c r="AG41" s="39"/>
    </row>
    <row r="42" spans="1:33" x14ac:dyDescent="0.3">
      <c r="A42" s="38"/>
      <c r="K42" s="39"/>
      <c r="L42" s="38"/>
      <c r="V42" s="39"/>
      <c r="W42" s="38"/>
      <c r="AG42" s="39"/>
    </row>
    <row r="43" spans="1:33" x14ac:dyDescent="0.3">
      <c r="A43" s="38"/>
      <c r="K43" s="39"/>
      <c r="L43" s="38"/>
      <c r="V43" s="39"/>
      <c r="W43" s="38"/>
      <c r="AG43" s="39"/>
    </row>
    <row r="44" spans="1:33" x14ac:dyDescent="0.3">
      <c r="A44" s="38"/>
      <c r="K44" s="39"/>
      <c r="L44" s="38"/>
      <c r="V44" s="39"/>
      <c r="W44" s="38"/>
      <c r="AG44" s="39"/>
    </row>
    <row r="45" spans="1:33" x14ac:dyDescent="0.3">
      <c r="A45" s="38"/>
      <c r="K45" s="39"/>
      <c r="L45" s="38"/>
      <c r="V45" s="39"/>
      <c r="W45" s="38"/>
      <c r="AG45" s="39"/>
    </row>
    <row r="46" spans="1:33" x14ac:dyDescent="0.3">
      <c r="A46" s="38"/>
      <c r="K46" s="39"/>
      <c r="L46" s="38"/>
      <c r="V46" s="39"/>
      <c r="W46" s="38"/>
      <c r="AG46" s="39"/>
    </row>
    <row r="47" spans="1:33" x14ac:dyDescent="0.3">
      <c r="A47" s="38"/>
      <c r="K47" s="39"/>
      <c r="L47" s="38"/>
      <c r="V47" s="39"/>
      <c r="W47" s="38"/>
      <c r="AG47" s="39"/>
    </row>
    <row r="48" spans="1:33" x14ac:dyDescent="0.3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2"/>
      <c r="L48" s="40"/>
      <c r="M48" s="41"/>
      <c r="N48" s="41"/>
      <c r="O48" s="41"/>
      <c r="P48" s="41"/>
      <c r="Q48" s="41"/>
      <c r="R48" s="41"/>
      <c r="S48" s="41"/>
      <c r="T48" s="41"/>
      <c r="U48" s="41"/>
      <c r="V48" s="42"/>
      <c r="W48" s="38"/>
      <c r="AG48" s="39"/>
    </row>
    <row r="49" spans="1:33" x14ac:dyDescent="0.3">
      <c r="A49" s="35"/>
      <c r="B49" s="36"/>
      <c r="C49" s="36"/>
      <c r="D49" s="36"/>
      <c r="E49" s="36"/>
      <c r="F49" s="36"/>
      <c r="G49" s="36"/>
      <c r="H49" s="36"/>
      <c r="I49" s="36"/>
      <c r="J49" s="36"/>
      <c r="K49" s="37"/>
      <c r="L49" s="35"/>
      <c r="M49" s="36"/>
      <c r="N49" s="36"/>
      <c r="O49" s="36"/>
      <c r="P49" s="36"/>
      <c r="Q49" s="36"/>
      <c r="R49" s="36"/>
      <c r="S49" s="36"/>
      <c r="T49" s="36"/>
      <c r="U49" s="36"/>
      <c r="V49" s="36"/>
    </row>
    <row r="50" spans="1:33" x14ac:dyDescent="0.3">
      <c r="A50" s="38"/>
      <c r="K50" s="39"/>
      <c r="L50" s="38"/>
    </row>
    <row r="51" spans="1:33" x14ac:dyDescent="0.3">
      <c r="A51" s="38"/>
      <c r="K51" s="39"/>
      <c r="L51" s="38"/>
    </row>
    <row r="52" spans="1:33" ht="16.8" x14ac:dyDescent="0.4">
      <c r="A52" s="38"/>
      <c r="D52" s="43"/>
      <c r="K52" s="39"/>
      <c r="L52" s="38"/>
      <c r="V52" s="39"/>
      <c r="W52" s="38"/>
      <c r="AG52" s="39"/>
    </row>
    <row r="53" spans="1:33" x14ac:dyDescent="0.3">
      <c r="A53" s="38"/>
      <c r="K53" s="39"/>
      <c r="L53" s="38"/>
      <c r="V53" s="39"/>
      <c r="W53" s="38"/>
      <c r="AG53" s="39"/>
    </row>
    <row r="54" spans="1:33" x14ac:dyDescent="0.3">
      <c r="A54" s="38"/>
      <c r="K54" s="39"/>
      <c r="L54" s="38"/>
      <c r="V54" s="39"/>
      <c r="W54" s="38"/>
      <c r="AG54" s="39"/>
    </row>
    <row r="55" spans="1:33" x14ac:dyDescent="0.3">
      <c r="A55" s="38"/>
      <c r="K55" s="39"/>
      <c r="L55" s="38"/>
      <c r="V55" s="39"/>
      <c r="W55" s="38"/>
      <c r="AG55" s="39"/>
    </row>
    <row r="56" spans="1:33" x14ac:dyDescent="0.3">
      <c r="A56" s="38"/>
      <c r="K56" s="39"/>
      <c r="L56" s="38"/>
      <c r="V56" s="39"/>
      <c r="W56" s="38"/>
      <c r="AG56" s="39"/>
    </row>
    <row r="57" spans="1:33" x14ac:dyDescent="0.3">
      <c r="A57" s="38"/>
      <c r="K57" s="39"/>
      <c r="L57" s="38"/>
      <c r="V57" s="39"/>
      <c r="W57" s="38"/>
      <c r="AG57" s="39"/>
    </row>
    <row r="58" spans="1:33" x14ac:dyDescent="0.3">
      <c r="A58" s="38"/>
      <c r="K58" s="39"/>
      <c r="L58" s="38"/>
      <c r="V58" s="39"/>
      <c r="W58" s="38"/>
      <c r="AG58" s="39"/>
    </row>
    <row r="59" spans="1:33" x14ac:dyDescent="0.3">
      <c r="A59" s="38"/>
      <c r="K59" s="39"/>
      <c r="L59" s="38"/>
      <c r="V59" s="39"/>
      <c r="W59" s="38"/>
      <c r="AG59" s="39"/>
    </row>
    <row r="60" spans="1:33" x14ac:dyDescent="0.3">
      <c r="A60" s="38"/>
      <c r="K60" s="39"/>
      <c r="L60" s="38"/>
      <c r="V60" s="39"/>
      <c r="W60" s="38"/>
      <c r="AG60" s="39"/>
    </row>
    <row r="61" spans="1:33" x14ac:dyDescent="0.3">
      <c r="A61" s="38"/>
      <c r="K61" s="39"/>
      <c r="L61" s="38"/>
      <c r="V61" s="39"/>
      <c r="W61" s="38"/>
      <c r="AG61" s="39"/>
    </row>
    <row r="62" spans="1:33" x14ac:dyDescent="0.3">
      <c r="A62" s="38"/>
      <c r="K62" s="39"/>
      <c r="L62" s="38"/>
      <c r="V62" s="39"/>
      <c r="W62" s="38"/>
      <c r="AG62" s="39"/>
    </row>
    <row r="63" spans="1:33" x14ac:dyDescent="0.3">
      <c r="A63" s="38"/>
      <c r="K63" s="39"/>
      <c r="L63" s="38"/>
      <c r="V63" s="39"/>
      <c r="W63" s="38"/>
      <c r="AG63" s="39"/>
    </row>
    <row r="64" spans="1:33" x14ac:dyDescent="0.3">
      <c r="A64" s="38"/>
      <c r="K64" s="39"/>
      <c r="L64" s="38"/>
      <c r="V64" s="39"/>
      <c r="W64" s="38"/>
      <c r="AG64" s="39"/>
    </row>
    <row r="65" spans="1:33" x14ac:dyDescent="0.3">
      <c r="A65" s="38"/>
      <c r="K65" s="39"/>
      <c r="L65" s="38"/>
      <c r="V65" s="39"/>
      <c r="W65" s="38"/>
      <c r="AG65" s="39"/>
    </row>
    <row r="66" spans="1:33" x14ac:dyDescent="0.3">
      <c r="A66" s="38"/>
      <c r="K66" s="39"/>
      <c r="L66" s="38"/>
      <c r="V66" s="39"/>
      <c r="W66" s="38"/>
      <c r="AG66" s="39"/>
    </row>
    <row r="67" spans="1:33" x14ac:dyDescent="0.3">
      <c r="A67" s="38"/>
      <c r="K67" s="39"/>
      <c r="L67" s="38"/>
      <c r="V67" s="39"/>
      <c r="W67" s="38"/>
      <c r="AG67" s="39"/>
    </row>
    <row r="68" spans="1:33" x14ac:dyDescent="0.3">
      <c r="A68" s="38"/>
      <c r="K68" s="39"/>
      <c r="L68" s="38"/>
      <c r="V68" s="39"/>
      <c r="W68" s="38"/>
      <c r="AG68" s="39"/>
    </row>
    <row r="69" spans="1:33" x14ac:dyDescent="0.3">
      <c r="A69" s="38"/>
      <c r="K69" s="39"/>
      <c r="L69" s="38"/>
      <c r="V69" s="39"/>
      <c r="W69" s="38"/>
      <c r="AG69" s="39"/>
    </row>
    <row r="70" spans="1:33" x14ac:dyDescent="0.3">
      <c r="A70" s="38"/>
      <c r="K70" s="39"/>
      <c r="L70" s="38"/>
      <c r="V70" s="39"/>
      <c r="W70" s="38"/>
      <c r="AG70" s="39"/>
    </row>
    <row r="71" spans="1:33" x14ac:dyDescent="0.3">
      <c r="A71" s="38"/>
      <c r="K71" s="39"/>
      <c r="L71" s="38"/>
      <c r="V71" s="39"/>
      <c r="W71" s="38"/>
      <c r="AG71" s="39"/>
    </row>
    <row r="72" spans="1:33" x14ac:dyDescent="0.3">
      <c r="A72" s="38"/>
      <c r="K72" s="39"/>
      <c r="L72" s="38"/>
      <c r="V72" s="39"/>
      <c r="W72" s="38"/>
      <c r="AG72" s="39"/>
    </row>
    <row r="73" spans="1:33" x14ac:dyDescent="0.3">
      <c r="A73" s="38"/>
      <c r="K73" s="39"/>
      <c r="L73" s="38"/>
      <c r="V73" s="39"/>
      <c r="W73" s="38"/>
      <c r="AG73" s="39"/>
    </row>
    <row r="74" spans="1:33" x14ac:dyDescent="0.3">
      <c r="A74" s="38"/>
      <c r="K74" s="39"/>
      <c r="L74" s="38"/>
      <c r="V74" s="39"/>
      <c r="W74" s="38"/>
      <c r="AG74" s="39"/>
    </row>
    <row r="75" spans="1:33" x14ac:dyDescent="0.3">
      <c r="A75" s="38"/>
      <c r="K75" s="39"/>
      <c r="L75" s="38"/>
      <c r="V75" s="39"/>
      <c r="W75" s="38"/>
      <c r="AG75" s="39"/>
    </row>
    <row r="76" spans="1:33" x14ac:dyDescent="0.3">
      <c r="A76" s="38"/>
      <c r="K76" s="39"/>
      <c r="L76" s="38"/>
      <c r="V76" s="39"/>
      <c r="W76" s="38"/>
      <c r="AG76" s="39"/>
    </row>
    <row r="77" spans="1:33" x14ac:dyDescent="0.3">
      <c r="A77" s="38"/>
      <c r="K77" s="39"/>
      <c r="L77" s="38"/>
      <c r="V77" s="39"/>
      <c r="W77" s="38"/>
      <c r="AG77" s="39"/>
    </row>
    <row r="78" spans="1:33" x14ac:dyDescent="0.3">
      <c r="A78" s="38"/>
      <c r="K78" s="39"/>
      <c r="L78" s="38"/>
      <c r="V78" s="39"/>
      <c r="W78" s="38"/>
      <c r="AG78" s="39"/>
    </row>
    <row r="79" spans="1:33" x14ac:dyDescent="0.3">
      <c r="A79" s="38"/>
      <c r="K79" s="39"/>
      <c r="L79" s="38"/>
      <c r="V79" s="39"/>
      <c r="W79" s="38"/>
      <c r="AG79" s="39"/>
    </row>
    <row r="80" spans="1:33" x14ac:dyDescent="0.3">
      <c r="A80" s="38"/>
      <c r="K80" s="39"/>
      <c r="L80" s="38"/>
      <c r="V80" s="39"/>
      <c r="W80" s="38"/>
      <c r="AG80" s="39"/>
    </row>
    <row r="81" spans="1:33" x14ac:dyDescent="0.3">
      <c r="A81" s="38"/>
      <c r="K81" s="39"/>
      <c r="L81" s="38"/>
      <c r="V81" s="39"/>
      <c r="W81" s="38"/>
      <c r="AG81" s="39"/>
    </row>
    <row r="82" spans="1:33" x14ac:dyDescent="0.3">
      <c r="A82" s="38"/>
      <c r="K82" s="39"/>
      <c r="L82" s="38"/>
      <c r="V82" s="39"/>
      <c r="W82" s="38"/>
      <c r="AG82" s="39"/>
    </row>
    <row r="83" spans="1:33" x14ac:dyDescent="0.3">
      <c r="A83" s="38"/>
      <c r="K83" s="39"/>
      <c r="L83" s="38"/>
      <c r="V83" s="39"/>
      <c r="W83" s="38"/>
      <c r="AG83" s="39"/>
    </row>
    <row r="84" spans="1:33" x14ac:dyDescent="0.3">
      <c r="A84" s="38"/>
      <c r="K84" s="39"/>
      <c r="L84" s="38"/>
      <c r="V84" s="39"/>
      <c r="W84" s="38"/>
      <c r="AG84" s="39"/>
    </row>
    <row r="85" spans="1:33" x14ac:dyDescent="0.3">
      <c r="A85" s="38"/>
      <c r="K85" s="39"/>
      <c r="L85" s="38"/>
      <c r="V85" s="39"/>
      <c r="W85" s="38"/>
      <c r="AG85" s="39"/>
    </row>
    <row r="86" spans="1:33" x14ac:dyDescent="0.3">
      <c r="A86" s="38"/>
      <c r="K86" s="39"/>
      <c r="L86" s="38"/>
      <c r="V86" s="39"/>
      <c r="W86" s="38"/>
      <c r="AG86" s="39"/>
    </row>
    <row r="87" spans="1:33" x14ac:dyDescent="0.3">
      <c r="A87" s="38"/>
      <c r="K87" s="39"/>
      <c r="L87" s="38"/>
      <c r="V87" s="39"/>
      <c r="W87" s="38"/>
      <c r="AG87" s="39"/>
    </row>
    <row r="88" spans="1:33" x14ac:dyDescent="0.3">
      <c r="A88" s="38"/>
      <c r="K88" s="39"/>
      <c r="L88" s="38"/>
      <c r="V88" s="39"/>
      <c r="W88" s="38"/>
      <c r="AG88" s="39"/>
    </row>
    <row r="89" spans="1:33" x14ac:dyDescent="0.3">
      <c r="A89" s="38"/>
      <c r="K89" s="39"/>
      <c r="L89" s="38"/>
      <c r="V89" s="39"/>
      <c r="W89" s="38"/>
      <c r="AG89" s="39"/>
    </row>
    <row r="90" spans="1:33" x14ac:dyDescent="0.3">
      <c r="A90" s="38"/>
      <c r="K90" s="39"/>
      <c r="L90" s="38"/>
      <c r="V90" s="39"/>
      <c r="W90" s="38"/>
      <c r="AG90" s="39"/>
    </row>
    <row r="91" spans="1:33" x14ac:dyDescent="0.3">
      <c r="A91" s="38"/>
      <c r="K91" s="39"/>
      <c r="L91" s="38"/>
      <c r="V91" s="39"/>
      <c r="W91" s="38"/>
      <c r="AG91" s="39"/>
    </row>
    <row r="92" spans="1:33" x14ac:dyDescent="0.3">
      <c r="A92" s="38"/>
      <c r="K92" s="39"/>
      <c r="L92" s="38"/>
      <c r="V92" s="39"/>
      <c r="W92" s="38"/>
      <c r="AG92" s="39"/>
    </row>
    <row r="93" spans="1:33" x14ac:dyDescent="0.3">
      <c r="A93" s="38"/>
      <c r="K93" s="39"/>
      <c r="L93" s="38"/>
      <c r="V93" s="39"/>
      <c r="W93" s="38"/>
      <c r="AG93" s="39"/>
    </row>
    <row r="94" spans="1:33" x14ac:dyDescent="0.3">
      <c r="A94" s="38"/>
      <c r="K94" s="39"/>
      <c r="L94" s="38"/>
      <c r="V94" s="39"/>
      <c r="W94" s="38"/>
      <c r="AG94" s="39"/>
    </row>
    <row r="95" spans="1:33" x14ac:dyDescent="0.3">
      <c r="A95" s="40"/>
      <c r="B95" s="41"/>
      <c r="C95" s="41"/>
      <c r="D95" s="41"/>
      <c r="E95" s="41"/>
      <c r="F95" s="41"/>
      <c r="G95" s="41"/>
      <c r="H95" s="41"/>
      <c r="I95" s="41"/>
      <c r="J95" s="41"/>
      <c r="K95" s="42"/>
      <c r="L95" s="40"/>
      <c r="M95" s="41"/>
      <c r="N95" s="41"/>
      <c r="O95" s="41"/>
      <c r="P95" s="41"/>
      <c r="Q95" s="41"/>
      <c r="R95" s="41"/>
      <c r="S95" s="41"/>
      <c r="T95" s="41"/>
      <c r="U95" s="41"/>
      <c r="V95" s="42"/>
      <c r="W95" s="38"/>
      <c r="AG95" s="39"/>
    </row>
    <row r="96" spans="1:33" x14ac:dyDescent="0.3">
      <c r="A96" s="35"/>
      <c r="B96" s="36"/>
      <c r="C96" s="36"/>
      <c r="D96" s="36"/>
      <c r="E96" s="36"/>
      <c r="F96" s="36"/>
      <c r="G96" s="36"/>
      <c r="H96" s="36"/>
      <c r="I96" s="36"/>
      <c r="J96" s="36"/>
      <c r="K96" s="37"/>
      <c r="L96" s="35"/>
      <c r="M96" s="36"/>
      <c r="N96" s="36"/>
      <c r="O96" s="36"/>
      <c r="P96" s="36"/>
      <c r="Q96" s="36"/>
      <c r="R96" s="36"/>
      <c r="S96" s="36"/>
      <c r="T96" s="36"/>
      <c r="U96" s="36"/>
      <c r="V96" s="37"/>
      <c r="W96" s="35"/>
      <c r="X96" s="36"/>
      <c r="Y96" s="36"/>
      <c r="Z96" s="36"/>
      <c r="AA96" s="36"/>
      <c r="AB96" s="36"/>
      <c r="AC96" s="36"/>
      <c r="AD96" s="36"/>
      <c r="AE96" s="36"/>
      <c r="AF96" s="36"/>
      <c r="AG96" s="37"/>
    </row>
    <row r="97" spans="1:33" x14ac:dyDescent="0.3">
      <c r="A97" s="38"/>
      <c r="K97" s="39"/>
      <c r="L97" s="38"/>
      <c r="V97" s="39"/>
      <c r="W97" s="38"/>
      <c r="AG97" s="39"/>
    </row>
    <row r="98" spans="1:33" x14ac:dyDescent="0.3">
      <c r="A98" s="38"/>
      <c r="K98" s="39"/>
      <c r="L98" s="38"/>
      <c r="V98" s="39"/>
      <c r="W98" s="38"/>
      <c r="AG98" s="39"/>
    </row>
    <row r="99" spans="1:33" x14ac:dyDescent="0.3">
      <c r="A99" s="38"/>
      <c r="K99" s="39"/>
      <c r="L99" s="38"/>
      <c r="V99" s="39"/>
      <c r="W99" s="38"/>
      <c r="AG99" s="39"/>
    </row>
    <row r="100" spans="1:33" x14ac:dyDescent="0.3">
      <c r="A100" s="38"/>
      <c r="K100" s="39"/>
      <c r="L100" s="38"/>
      <c r="V100" s="39"/>
      <c r="W100" s="38"/>
      <c r="AG100" s="39"/>
    </row>
    <row r="101" spans="1:33" x14ac:dyDescent="0.3">
      <c r="A101" s="38"/>
      <c r="K101" s="39"/>
      <c r="L101" s="38"/>
      <c r="V101" s="39"/>
      <c r="W101" s="38"/>
      <c r="AG101" s="39"/>
    </row>
    <row r="102" spans="1:33" x14ac:dyDescent="0.3">
      <c r="A102" s="38"/>
      <c r="K102" s="39"/>
      <c r="L102" s="38"/>
      <c r="V102" s="39"/>
      <c r="W102" s="38"/>
      <c r="AG102" s="39"/>
    </row>
    <row r="103" spans="1:33" x14ac:dyDescent="0.3">
      <c r="A103" s="38"/>
      <c r="K103" s="39"/>
      <c r="L103" s="38"/>
      <c r="V103" s="39"/>
      <c r="W103" s="38"/>
      <c r="AG103" s="39"/>
    </row>
    <row r="104" spans="1:33" x14ac:dyDescent="0.3">
      <c r="A104" s="38"/>
      <c r="K104" s="39"/>
      <c r="L104" s="38"/>
      <c r="V104" s="39"/>
      <c r="W104" s="38"/>
      <c r="AG104" s="39"/>
    </row>
    <row r="105" spans="1:33" x14ac:dyDescent="0.3">
      <c r="A105" s="38"/>
      <c r="K105" s="39"/>
      <c r="L105" s="38"/>
      <c r="V105" s="39"/>
      <c r="W105" s="38"/>
      <c r="AG105" s="39"/>
    </row>
    <row r="106" spans="1:33" x14ac:dyDescent="0.3">
      <c r="A106" s="38"/>
      <c r="K106" s="39"/>
      <c r="L106" s="38"/>
      <c r="V106" s="39"/>
      <c r="W106" s="38"/>
      <c r="AG106" s="39"/>
    </row>
    <row r="107" spans="1:33" x14ac:dyDescent="0.3">
      <c r="A107" s="38"/>
      <c r="K107" s="39"/>
      <c r="L107" s="38"/>
      <c r="V107" s="39"/>
      <c r="W107" s="38"/>
      <c r="AG107" s="39"/>
    </row>
    <row r="108" spans="1:33" x14ac:dyDescent="0.3">
      <c r="A108" s="38"/>
      <c r="K108" s="39"/>
      <c r="L108" s="38"/>
      <c r="V108" s="39"/>
      <c r="W108" s="38"/>
      <c r="AG108" s="39"/>
    </row>
    <row r="109" spans="1:33" x14ac:dyDescent="0.3">
      <c r="A109" s="38"/>
      <c r="K109" s="39"/>
      <c r="L109" s="38"/>
      <c r="V109" s="39"/>
      <c r="W109" s="38"/>
      <c r="AG109" s="39"/>
    </row>
    <row r="110" spans="1:33" x14ac:dyDescent="0.3">
      <c r="A110" s="38"/>
      <c r="K110" s="39"/>
      <c r="L110" s="38"/>
      <c r="V110" s="39"/>
      <c r="W110" s="38"/>
      <c r="AG110" s="39"/>
    </row>
    <row r="111" spans="1:33" x14ac:dyDescent="0.3">
      <c r="A111" s="38"/>
      <c r="K111" s="39"/>
      <c r="L111" s="38"/>
      <c r="V111" s="39"/>
      <c r="W111" s="38"/>
      <c r="AG111" s="39"/>
    </row>
    <row r="112" spans="1:33" x14ac:dyDescent="0.3">
      <c r="A112" s="38"/>
      <c r="K112" s="39"/>
      <c r="L112" s="38"/>
      <c r="V112" s="39"/>
      <c r="W112" s="38"/>
      <c r="AG112" s="39"/>
    </row>
    <row r="113" spans="1:33" x14ac:dyDescent="0.3">
      <c r="A113" s="38"/>
      <c r="K113" s="39"/>
      <c r="L113" s="38"/>
      <c r="V113" s="39"/>
      <c r="W113" s="38"/>
      <c r="AG113" s="39"/>
    </row>
    <row r="114" spans="1:33" x14ac:dyDescent="0.3">
      <c r="A114" s="38"/>
      <c r="K114" s="39"/>
      <c r="L114" s="38"/>
      <c r="V114" s="39"/>
      <c r="W114" s="38"/>
      <c r="AG114" s="39"/>
    </row>
    <row r="115" spans="1:33" x14ac:dyDescent="0.3">
      <c r="A115" s="38"/>
      <c r="K115" s="39"/>
      <c r="L115" s="38"/>
      <c r="V115" s="39"/>
      <c r="W115" s="38"/>
      <c r="AG115" s="39"/>
    </row>
    <row r="116" spans="1:33" x14ac:dyDescent="0.3">
      <c r="A116" s="38"/>
      <c r="K116" s="39"/>
      <c r="L116" s="38"/>
      <c r="V116" s="39"/>
      <c r="W116" s="38"/>
      <c r="AG116" s="39"/>
    </row>
    <row r="117" spans="1:33" x14ac:dyDescent="0.3">
      <c r="A117" s="38"/>
      <c r="K117" s="39"/>
      <c r="L117" s="38"/>
      <c r="V117" s="39"/>
      <c r="W117" s="38"/>
      <c r="AG117" s="39"/>
    </row>
    <row r="118" spans="1:33" x14ac:dyDescent="0.3">
      <c r="A118" s="38"/>
      <c r="K118" s="39"/>
      <c r="L118" s="38"/>
      <c r="V118" s="39"/>
      <c r="W118" s="38"/>
      <c r="AG118" s="39"/>
    </row>
    <row r="119" spans="1:33" x14ac:dyDescent="0.3">
      <c r="A119" s="38"/>
      <c r="K119" s="39"/>
      <c r="L119" s="38"/>
      <c r="V119" s="39"/>
      <c r="W119" s="38"/>
      <c r="AG119" s="39"/>
    </row>
    <row r="120" spans="1:33" x14ac:dyDescent="0.3">
      <c r="A120" s="38"/>
      <c r="K120" s="39"/>
      <c r="L120" s="38"/>
      <c r="V120" s="39"/>
      <c r="W120" s="38"/>
      <c r="AG120" s="39"/>
    </row>
    <row r="121" spans="1:33" x14ac:dyDescent="0.3">
      <c r="A121" s="38"/>
      <c r="K121" s="39"/>
      <c r="L121" s="38"/>
      <c r="V121" s="39"/>
      <c r="W121" s="38"/>
      <c r="AG121" s="39"/>
    </row>
    <row r="122" spans="1:33" x14ac:dyDescent="0.3">
      <c r="A122" s="38"/>
      <c r="K122" s="39"/>
      <c r="L122" s="38"/>
      <c r="V122" s="39"/>
      <c r="W122" s="38"/>
      <c r="AG122" s="39"/>
    </row>
    <row r="123" spans="1:33" x14ac:dyDescent="0.3">
      <c r="A123" s="38"/>
      <c r="K123" s="39"/>
      <c r="L123" s="38"/>
      <c r="V123" s="39"/>
      <c r="W123" s="38"/>
      <c r="AG123" s="39"/>
    </row>
    <row r="124" spans="1:33" x14ac:dyDescent="0.3">
      <c r="A124" s="38"/>
      <c r="K124" s="39"/>
      <c r="L124" s="38"/>
      <c r="V124" s="39"/>
      <c r="W124" s="38"/>
      <c r="AG124" s="39"/>
    </row>
    <row r="125" spans="1:33" x14ac:dyDescent="0.3">
      <c r="A125" s="38"/>
      <c r="K125" s="39"/>
      <c r="L125" s="38"/>
      <c r="V125" s="39"/>
      <c r="W125" s="38"/>
      <c r="AG125" s="39"/>
    </row>
    <row r="126" spans="1:33" x14ac:dyDescent="0.3">
      <c r="A126" s="38"/>
      <c r="K126" s="39"/>
      <c r="L126" s="38"/>
      <c r="V126" s="39"/>
      <c r="W126" s="38"/>
      <c r="AG126" s="39"/>
    </row>
    <row r="127" spans="1:33" x14ac:dyDescent="0.3">
      <c r="A127" s="38"/>
      <c r="K127" s="39"/>
      <c r="L127" s="38"/>
      <c r="V127" s="39"/>
      <c r="W127" s="38"/>
      <c r="AG127" s="39"/>
    </row>
    <row r="128" spans="1:33" x14ac:dyDescent="0.3">
      <c r="A128" s="38"/>
      <c r="K128" s="39"/>
      <c r="L128" s="38"/>
      <c r="V128" s="39"/>
      <c r="W128" s="38"/>
      <c r="AG128" s="39"/>
    </row>
    <row r="129" spans="1:33" x14ac:dyDescent="0.3">
      <c r="A129" s="38"/>
      <c r="K129" s="39"/>
      <c r="L129" s="38"/>
      <c r="V129" s="39"/>
      <c r="W129" s="38"/>
      <c r="AG129" s="39"/>
    </row>
    <row r="130" spans="1:33" x14ac:dyDescent="0.3">
      <c r="A130" s="38"/>
      <c r="K130" s="39"/>
      <c r="L130" s="38"/>
      <c r="V130" s="39"/>
      <c r="W130" s="38"/>
      <c r="AG130" s="39"/>
    </row>
    <row r="131" spans="1:33" x14ac:dyDescent="0.3">
      <c r="A131" s="38"/>
      <c r="K131" s="39"/>
      <c r="L131" s="38"/>
      <c r="V131" s="39"/>
      <c r="W131" s="38"/>
      <c r="AG131" s="39"/>
    </row>
    <row r="132" spans="1:33" x14ac:dyDescent="0.3">
      <c r="A132" s="38"/>
      <c r="K132" s="39"/>
      <c r="L132" s="38"/>
      <c r="V132" s="39"/>
      <c r="W132" s="38"/>
      <c r="AG132" s="39"/>
    </row>
    <row r="133" spans="1:33" x14ac:dyDescent="0.3">
      <c r="A133" s="38"/>
      <c r="K133" s="39"/>
      <c r="L133" s="38"/>
      <c r="V133" s="39"/>
      <c r="W133" s="38"/>
      <c r="AG133" s="39"/>
    </row>
    <row r="134" spans="1:33" x14ac:dyDescent="0.3">
      <c r="A134" s="38"/>
      <c r="K134" s="39"/>
      <c r="L134" s="38"/>
      <c r="V134" s="39"/>
      <c r="W134" s="38"/>
      <c r="AG134" s="39"/>
    </row>
    <row r="135" spans="1:33" x14ac:dyDescent="0.3">
      <c r="A135" s="38"/>
      <c r="K135" s="39"/>
      <c r="L135" s="38"/>
      <c r="V135" s="39"/>
      <c r="W135" s="38"/>
      <c r="AG135" s="39"/>
    </row>
    <row r="136" spans="1:33" x14ac:dyDescent="0.3">
      <c r="A136" s="38"/>
      <c r="K136" s="39"/>
      <c r="L136" s="38"/>
      <c r="V136" s="39"/>
      <c r="W136" s="38"/>
      <c r="AG136" s="39"/>
    </row>
    <row r="137" spans="1:33" x14ac:dyDescent="0.3">
      <c r="A137" s="38"/>
      <c r="K137" s="39"/>
      <c r="L137" s="38"/>
      <c r="V137" s="39"/>
      <c r="W137" s="38"/>
      <c r="AG137" s="39"/>
    </row>
    <row r="138" spans="1:33" x14ac:dyDescent="0.3">
      <c r="A138" s="38"/>
      <c r="K138" s="39"/>
      <c r="L138" s="38"/>
      <c r="V138" s="39"/>
      <c r="W138" s="38"/>
      <c r="AG138" s="39"/>
    </row>
    <row r="139" spans="1:33" x14ac:dyDescent="0.3">
      <c r="A139" s="38"/>
      <c r="K139" s="39"/>
      <c r="L139" s="38"/>
      <c r="V139" s="39"/>
      <c r="W139" s="38"/>
      <c r="AG139" s="39"/>
    </row>
    <row r="140" spans="1:33" x14ac:dyDescent="0.3">
      <c r="A140" s="38"/>
      <c r="K140" s="39"/>
      <c r="L140" s="38"/>
      <c r="V140" s="39"/>
      <c r="W140" s="38"/>
      <c r="AG140" s="39"/>
    </row>
    <row r="141" spans="1:33" x14ac:dyDescent="0.3">
      <c r="A141" s="38"/>
      <c r="K141" s="39"/>
      <c r="L141" s="38"/>
      <c r="V141" s="39"/>
      <c r="W141" s="38"/>
      <c r="AG141" s="39"/>
    </row>
    <row r="142" spans="1:33" x14ac:dyDescent="0.3">
      <c r="A142" s="38"/>
      <c r="K142" s="39"/>
      <c r="L142" s="38"/>
      <c r="V142" s="39"/>
      <c r="W142" s="38"/>
      <c r="AG142" s="39"/>
    </row>
    <row r="143" spans="1:33" x14ac:dyDescent="0.3">
      <c r="A143" s="40"/>
      <c r="B143" s="41"/>
      <c r="C143" s="41"/>
      <c r="D143" s="41"/>
      <c r="E143" s="41"/>
      <c r="F143" s="41"/>
      <c r="G143" s="41"/>
      <c r="H143" s="41"/>
      <c r="I143" s="41"/>
      <c r="J143" s="41"/>
      <c r="K143" s="42"/>
      <c r="L143" s="40"/>
      <c r="M143" s="41"/>
      <c r="N143" s="41"/>
      <c r="O143" s="41"/>
      <c r="P143" s="41"/>
      <c r="Q143" s="41"/>
      <c r="R143" s="41"/>
      <c r="S143" s="41"/>
      <c r="T143" s="41"/>
      <c r="U143" s="41"/>
      <c r="V143" s="42"/>
      <c r="W143" s="40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</row>
    <row r="144" spans="1:33" x14ac:dyDescent="0.3">
      <c r="A144" s="35"/>
      <c r="B144" s="36"/>
      <c r="C144" s="36"/>
      <c r="D144" s="36"/>
      <c r="E144" s="36"/>
      <c r="F144" s="36"/>
      <c r="G144" s="36"/>
      <c r="H144" s="36"/>
      <c r="I144" s="36"/>
      <c r="J144" s="36"/>
      <c r="K144" s="37"/>
      <c r="L144" s="35"/>
      <c r="M144" s="36"/>
      <c r="N144" s="36"/>
      <c r="O144" s="36"/>
      <c r="P144" s="36"/>
      <c r="Q144" s="36"/>
      <c r="R144" s="36"/>
      <c r="S144" s="36"/>
      <c r="T144" s="36"/>
      <c r="U144" s="36"/>
      <c r="V144" s="37"/>
    </row>
    <row r="145" spans="1:22" x14ac:dyDescent="0.3">
      <c r="A145" s="38"/>
      <c r="K145" s="39"/>
      <c r="L145" s="38"/>
      <c r="V145" s="39"/>
    </row>
    <row r="146" spans="1:22" x14ac:dyDescent="0.3">
      <c r="A146" s="38"/>
      <c r="K146" s="39"/>
      <c r="L146" s="38"/>
      <c r="V146" s="39"/>
    </row>
    <row r="147" spans="1:22" x14ac:dyDescent="0.3">
      <c r="A147" s="38"/>
      <c r="K147" s="39"/>
      <c r="L147" s="38"/>
      <c r="V147" s="39"/>
    </row>
    <row r="148" spans="1:22" x14ac:dyDescent="0.3">
      <c r="A148" s="38"/>
      <c r="K148" s="39"/>
      <c r="L148" s="38"/>
      <c r="V148" s="39"/>
    </row>
    <row r="149" spans="1:22" x14ac:dyDescent="0.3">
      <c r="A149" s="38"/>
      <c r="K149" s="39"/>
      <c r="L149" s="38"/>
      <c r="V149" s="39"/>
    </row>
    <row r="150" spans="1:22" x14ac:dyDescent="0.3">
      <c r="A150" s="38"/>
      <c r="K150" s="39"/>
      <c r="L150" s="38"/>
      <c r="V150" s="39"/>
    </row>
    <row r="151" spans="1:22" x14ac:dyDescent="0.3">
      <c r="A151" s="38"/>
      <c r="K151" s="39"/>
      <c r="L151" s="38"/>
      <c r="V151" s="39"/>
    </row>
    <row r="152" spans="1:22" x14ac:dyDescent="0.3">
      <c r="A152" s="38"/>
      <c r="K152" s="39"/>
      <c r="L152" s="38"/>
      <c r="V152" s="39"/>
    </row>
    <row r="153" spans="1:22" x14ac:dyDescent="0.3">
      <c r="A153" s="38"/>
      <c r="K153" s="39"/>
      <c r="L153" s="38"/>
      <c r="V153" s="39"/>
    </row>
    <row r="154" spans="1:22" x14ac:dyDescent="0.3">
      <c r="A154" s="38"/>
      <c r="K154" s="39"/>
      <c r="L154" s="38"/>
      <c r="V154" s="39"/>
    </row>
    <row r="155" spans="1:22" x14ac:dyDescent="0.3">
      <c r="A155" s="38"/>
      <c r="K155" s="39"/>
      <c r="L155" s="38"/>
      <c r="V155" s="39"/>
    </row>
    <row r="156" spans="1:22" x14ac:dyDescent="0.3">
      <c r="A156" s="38"/>
      <c r="K156" s="39"/>
      <c r="L156" s="38"/>
      <c r="V156" s="39"/>
    </row>
    <row r="157" spans="1:22" x14ac:dyDescent="0.3">
      <c r="A157" s="38"/>
      <c r="K157" s="39"/>
      <c r="L157" s="38"/>
      <c r="V157" s="39"/>
    </row>
    <row r="158" spans="1:22" x14ac:dyDescent="0.3">
      <c r="A158" s="38"/>
      <c r="K158" s="39"/>
      <c r="L158" s="38"/>
      <c r="V158" s="39"/>
    </row>
    <row r="159" spans="1:22" x14ac:dyDescent="0.3">
      <c r="A159" s="38"/>
      <c r="K159" s="39"/>
      <c r="L159" s="38"/>
      <c r="V159" s="39"/>
    </row>
    <row r="160" spans="1:22" x14ac:dyDescent="0.3">
      <c r="A160" s="38"/>
      <c r="K160" s="39"/>
      <c r="L160" s="38"/>
      <c r="V160" s="39"/>
    </row>
    <row r="161" spans="1:22" x14ac:dyDescent="0.3">
      <c r="A161" s="38"/>
      <c r="K161" s="39"/>
      <c r="L161" s="38"/>
      <c r="V161" s="39"/>
    </row>
    <row r="162" spans="1:22" x14ac:dyDescent="0.3">
      <c r="A162" s="38"/>
      <c r="K162" s="39"/>
      <c r="L162" s="38"/>
      <c r="V162" s="39"/>
    </row>
    <row r="163" spans="1:22" x14ac:dyDescent="0.3">
      <c r="A163" s="38"/>
      <c r="K163" s="39"/>
      <c r="L163" s="38"/>
      <c r="V163" s="39"/>
    </row>
    <row r="164" spans="1:22" x14ac:dyDescent="0.3">
      <c r="A164" s="38"/>
      <c r="K164" s="39"/>
      <c r="L164" s="38"/>
      <c r="V164" s="39"/>
    </row>
    <row r="165" spans="1:22" x14ac:dyDescent="0.3">
      <c r="A165" s="38"/>
      <c r="K165" s="39"/>
      <c r="L165" s="38"/>
      <c r="V165" s="39"/>
    </row>
    <row r="166" spans="1:22" x14ac:dyDescent="0.3">
      <c r="A166" s="38"/>
      <c r="K166" s="39"/>
      <c r="L166" s="38"/>
      <c r="V166" s="39"/>
    </row>
    <row r="167" spans="1:22" x14ac:dyDescent="0.3">
      <c r="A167" s="38"/>
      <c r="K167" s="39"/>
      <c r="L167" s="38"/>
      <c r="V167" s="39"/>
    </row>
    <row r="168" spans="1:22" x14ac:dyDescent="0.3">
      <c r="A168" s="38"/>
      <c r="K168" s="39"/>
      <c r="L168" s="38"/>
      <c r="V168" s="39"/>
    </row>
    <row r="169" spans="1:22" x14ac:dyDescent="0.3">
      <c r="A169" s="38"/>
      <c r="K169" s="39"/>
      <c r="L169" s="38"/>
      <c r="V169" s="39"/>
    </row>
    <row r="170" spans="1:22" x14ac:dyDescent="0.3">
      <c r="A170" s="38"/>
      <c r="K170" s="39"/>
      <c r="L170" s="38"/>
      <c r="V170" s="39"/>
    </row>
    <row r="171" spans="1:22" x14ac:dyDescent="0.3">
      <c r="A171" s="38"/>
      <c r="K171" s="39"/>
      <c r="L171" s="38"/>
      <c r="V171" s="39"/>
    </row>
    <row r="172" spans="1:22" x14ac:dyDescent="0.3">
      <c r="A172" s="38"/>
      <c r="K172" s="39"/>
      <c r="L172" s="38"/>
      <c r="V172" s="39"/>
    </row>
    <row r="173" spans="1:22" x14ac:dyDescent="0.3">
      <c r="A173" s="38"/>
      <c r="K173" s="39"/>
      <c r="L173" s="38"/>
      <c r="V173" s="39"/>
    </row>
    <row r="174" spans="1:22" x14ac:dyDescent="0.3">
      <c r="A174" s="38"/>
      <c r="K174" s="39"/>
      <c r="L174" s="38"/>
      <c r="V174" s="39"/>
    </row>
    <row r="175" spans="1:22" x14ac:dyDescent="0.3">
      <c r="A175" s="38"/>
      <c r="K175" s="39"/>
      <c r="L175" s="38"/>
      <c r="V175" s="39"/>
    </row>
    <row r="176" spans="1:22" x14ac:dyDescent="0.3">
      <c r="A176" s="38"/>
      <c r="K176" s="39"/>
      <c r="L176" s="38"/>
      <c r="V176" s="39"/>
    </row>
    <row r="177" spans="1:22" x14ac:dyDescent="0.3">
      <c r="A177" s="38"/>
      <c r="K177" s="39"/>
      <c r="L177" s="38"/>
      <c r="V177" s="39"/>
    </row>
    <row r="178" spans="1:22" x14ac:dyDescent="0.3">
      <c r="A178" s="38"/>
      <c r="K178" s="39"/>
      <c r="L178" s="38"/>
      <c r="V178" s="39"/>
    </row>
    <row r="179" spans="1:22" x14ac:dyDescent="0.3">
      <c r="A179" s="38"/>
      <c r="K179" s="39"/>
      <c r="L179" s="38"/>
      <c r="V179" s="39"/>
    </row>
    <row r="180" spans="1:22" x14ac:dyDescent="0.3">
      <c r="A180" s="38"/>
      <c r="K180" s="39"/>
      <c r="L180" s="38"/>
      <c r="V180" s="39"/>
    </row>
    <row r="181" spans="1:22" x14ac:dyDescent="0.3">
      <c r="A181" s="38"/>
      <c r="K181" s="39"/>
      <c r="L181" s="38"/>
      <c r="V181" s="39"/>
    </row>
    <row r="182" spans="1:22" x14ac:dyDescent="0.3">
      <c r="A182" s="38"/>
      <c r="K182" s="39"/>
      <c r="L182" s="38"/>
      <c r="V182" s="39"/>
    </row>
    <row r="183" spans="1:22" x14ac:dyDescent="0.3">
      <c r="A183" s="38"/>
      <c r="K183" s="39"/>
      <c r="L183" s="38"/>
      <c r="V183" s="39"/>
    </row>
    <row r="184" spans="1:22" x14ac:dyDescent="0.3">
      <c r="A184" s="38"/>
      <c r="K184" s="39"/>
      <c r="L184" s="38"/>
      <c r="V184" s="39"/>
    </row>
    <row r="185" spans="1:22" x14ac:dyDescent="0.3">
      <c r="A185" s="38"/>
      <c r="K185" s="39"/>
      <c r="L185" s="38"/>
      <c r="V185" s="39"/>
    </row>
    <row r="186" spans="1:22" x14ac:dyDescent="0.3">
      <c r="A186" s="38"/>
      <c r="K186" s="39"/>
      <c r="L186" s="38"/>
      <c r="V186" s="39"/>
    </row>
    <row r="187" spans="1:22" x14ac:dyDescent="0.3">
      <c r="A187" s="38"/>
      <c r="K187" s="39"/>
      <c r="L187" s="38"/>
      <c r="V187" s="39"/>
    </row>
    <row r="188" spans="1:22" x14ac:dyDescent="0.3">
      <c r="A188" s="38"/>
      <c r="K188" s="39"/>
      <c r="L188" s="38"/>
      <c r="V188" s="39"/>
    </row>
    <row r="189" spans="1:22" x14ac:dyDescent="0.3">
      <c r="A189" s="38"/>
      <c r="K189" s="39"/>
      <c r="L189" s="38"/>
      <c r="V189" s="39"/>
    </row>
    <row r="190" spans="1:22" x14ac:dyDescent="0.3">
      <c r="A190" s="38"/>
      <c r="K190" s="39"/>
      <c r="L190" s="38"/>
      <c r="V190" s="39"/>
    </row>
    <row r="191" spans="1:22" x14ac:dyDescent="0.3">
      <c r="A191" s="40"/>
      <c r="B191" s="41"/>
      <c r="C191" s="41"/>
      <c r="D191" s="41"/>
      <c r="E191" s="41"/>
      <c r="F191" s="41"/>
      <c r="G191" s="41"/>
      <c r="H191" s="41"/>
      <c r="I191" s="41"/>
      <c r="J191" s="41"/>
      <c r="K191" s="42"/>
      <c r="L191" s="40"/>
      <c r="M191" s="41"/>
      <c r="N191" s="41"/>
      <c r="O191" s="41"/>
      <c r="P191" s="41"/>
      <c r="Q191" s="41"/>
      <c r="R191" s="41"/>
      <c r="S191" s="41"/>
      <c r="T191" s="41"/>
      <c r="U191" s="41"/>
      <c r="V191" s="41"/>
    </row>
  </sheetData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3A840-D1A1-4B39-91F8-DD5E46E9078D}">
  <sheetPr codeName="Sheet5"/>
  <dimension ref="A17:G71"/>
  <sheetViews>
    <sheetView showWhiteSpace="0" view="pageBreakPreview" topLeftCell="A58" zoomScale="130" zoomScaleNormal="100" zoomScaleSheetLayoutView="130" zoomScalePageLayoutView="55" workbookViewId="0">
      <selection activeCell="A17" sqref="A17:G23"/>
    </sheetView>
  </sheetViews>
  <sheetFormatPr defaultRowHeight="14.4" x14ac:dyDescent="0.3"/>
  <cols>
    <col min="1" max="1" width="11.77734375" bestFit="1" customWidth="1"/>
    <col min="2" max="2" width="9.44140625" bestFit="1" customWidth="1"/>
    <col min="3" max="3" width="11.88671875" bestFit="1" customWidth="1"/>
    <col min="4" max="4" width="17.21875" bestFit="1" customWidth="1"/>
    <col min="5" max="5" width="11.77734375" bestFit="1" customWidth="1"/>
    <col min="6" max="6" width="9.44140625" bestFit="1" customWidth="1"/>
    <col min="7" max="7" width="11.88671875" bestFit="1" customWidth="1"/>
  </cols>
  <sheetData>
    <row r="17" spans="1:7" ht="22.2" x14ac:dyDescent="0.35">
      <c r="A17" s="64" t="s">
        <v>310</v>
      </c>
      <c r="B17" s="64"/>
      <c r="C17" s="64"/>
      <c r="D17" s="45"/>
      <c r="E17" s="64" t="s">
        <v>310</v>
      </c>
      <c r="F17" s="64"/>
      <c r="G17" s="64"/>
    </row>
    <row r="18" spans="1:7" ht="22.8" thickBot="1" x14ac:dyDescent="0.4">
      <c r="A18" s="64" t="s">
        <v>301</v>
      </c>
      <c r="B18" s="64"/>
      <c r="C18" s="64"/>
      <c r="D18" s="44"/>
      <c r="E18" s="64" t="s">
        <v>302</v>
      </c>
      <c r="F18" s="64"/>
      <c r="G18" s="64"/>
    </row>
    <row r="19" spans="1:7" ht="32.4" thickBot="1" x14ac:dyDescent="0.35">
      <c r="A19" s="46">
        <f>pos_L3+pos_L3_2p</f>
        <v>2</v>
      </c>
      <c r="B19" s="47">
        <f>pos_M3+pos_M3_2p</f>
        <v>3</v>
      </c>
      <c r="C19" s="48">
        <f>pos_R3+pos_R3_2p</f>
        <v>4</v>
      </c>
      <c r="D19" s="49" t="s">
        <v>303</v>
      </c>
      <c r="E19" s="46">
        <f>neg_L3+neg_L3_2p</f>
        <v>1</v>
      </c>
      <c r="F19" s="47">
        <f>neg_M3+neg_M3_2p</f>
        <v>10</v>
      </c>
      <c r="G19" s="48">
        <f>neg_R3+neg_R3_2p</f>
        <v>3</v>
      </c>
    </row>
    <row r="20" spans="1:7" ht="31.8" x14ac:dyDescent="0.3">
      <c r="A20" s="50">
        <f>pos_L22+pos_L22_2p</f>
        <v>3</v>
      </c>
      <c r="B20" s="51">
        <f>pos_M22+pos_M22_2p</f>
        <v>3</v>
      </c>
      <c r="C20" s="52">
        <f>pos_R22+pos_R22_2p</f>
        <v>1</v>
      </c>
      <c r="D20" s="53" t="s">
        <v>304</v>
      </c>
      <c r="E20" s="50">
        <f>neg_L22+neg_L22_2p</f>
        <v>2</v>
      </c>
      <c r="F20" s="51">
        <f>neg_M22+neg_M22_2p</f>
        <v>7</v>
      </c>
      <c r="G20" s="52">
        <f>neg_R22+neg_R22_2p</f>
        <v>2</v>
      </c>
    </row>
    <row r="21" spans="1:7" ht="32.4" thickBot="1" x14ac:dyDescent="0.35">
      <c r="A21" s="54">
        <f>pos_L21+pos_L21_2p</f>
        <v>2</v>
      </c>
      <c r="B21" s="55">
        <f>pos_M21+pos_M21_2p</f>
        <v>2</v>
      </c>
      <c r="C21" s="56">
        <f>pos_R21+pos_R21_2p</f>
        <v>1</v>
      </c>
      <c r="D21" s="49" t="s">
        <v>305</v>
      </c>
      <c r="E21" s="54">
        <f>neg_L21+neg_L21_2p</f>
        <v>4</v>
      </c>
      <c r="F21" s="55">
        <f>neg_M21+neg_M21_2p</f>
        <v>6</v>
      </c>
      <c r="G21" s="56">
        <f>neg_R21+neg_R21_2p</f>
        <v>1</v>
      </c>
    </row>
    <row r="22" spans="1:7" ht="32.4" thickBot="1" x14ac:dyDescent="0.35">
      <c r="A22" s="57">
        <f>pos_L1+pos_L1_2p</f>
        <v>3</v>
      </c>
      <c r="B22" s="58">
        <f>pos_M1+pos_M1_2p</f>
        <v>3</v>
      </c>
      <c r="C22" s="59">
        <f>pos_R1+pos_R1_2p</f>
        <v>1</v>
      </c>
      <c r="D22" s="49" t="s">
        <v>306</v>
      </c>
      <c r="E22" s="57">
        <f>neg_L1+neg_L1_2p</f>
        <v>4</v>
      </c>
      <c r="F22" s="58">
        <f>neg_M1+neg_M1_2p</f>
        <v>7</v>
      </c>
      <c r="G22" s="59">
        <f>neg_R1+neg_R1_2p</f>
        <v>4</v>
      </c>
    </row>
    <row r="23" spans="1:7" ht="17.399999999999999" x14ac:dyDescent="0.3">
      <c r="A23" s="49" t="s">
        <v>307</v>
      </c>
      <c r="B23" s="49" t="s">
        <v>308</v>
      </c>
      <c r="C23" s="49" t="s">
        <v>309</v>
      </c>
      <c r="D23" s="60"/>
      <c r="E23" s="49" t="s">
        <v>307</v>
      </c>
      <c r="F23" s="49" t="s">
        <v>308</v>
      </c>
      <c r="G23" s="49" t="s">
        <v>309</v>
      </c>
    </row>
    <row r="54" spans="1:7" ht="22.2" x14ac:dyDescent="0.35">
      <c r="A54" s="64" t="s">
        <v>300</v>
      </c>
      <c r="B54" s="64"/>
      <c r="C54" s="64"/>
      <c r="D54" s="45"/>
      <c r="E54" s="64" t="s">
        <v>300</v>
      </c>
      <c r="F54" s="64"/>
      <c r="G54" s="64"/>
    </row>
    <row r="55" spans="1:7" ht="22.8" thickBot="1" x14ac:dyDescent="0.4">
      <c r="A55" s="64" t="s">
        <v>301</v>
      </c>
      <c r="B55" s="64"/>
      <c r="C55" s="64"/>
      <c r="D55" s="44"/>
      <c r="E55" s="64" t="s">
        <v>302</v>
      </c>
      <c r="F55" s="64"/>
      <c r="G55" s="64"/>
    </row>
    <row r="56" spans="1:7" ht="32.4" thickBot="1" x14ac:dyDescent="0.35">
      <c r="A56" s="46">
        <f>pos_L3</f>
        <v>1</v>
      </c>
      <c r="B56" s="47">
        <f>pos_M3</f>
        <v>1</v>
      </c>
      <c r="C56" s="48">
        <f>pos_R3</f>
        <v>2</v>
      </c>
      <c r="D56" s="49" t="s">
        <v>303</v>
      </c>
      <c r="E56" s="46">
        <f>neg_L3</f>
        <v>1</v>
      </c>
      <c r="F56" s="47">
        <f>neg_M3</f>
        <v>5</v>
      </c>
      <c r="G56" s="48">
        <f>neg_R3</f>
        <v>1</v>
      </c>
    </row>
    <row r="57" spans="1:7" ht="31.8" x14ac:dyDescent="0.3">
      <c r="A57" s="50">
        <f>pos_L22</f>
        <v>2</v>
      </c>
      <c r="B57" s="51">
        <f>pos_M22</f>
        <v>1</v>
      </c>
      <c r="C57" s="52">
        <f>pos_R22</f>
        <v>0</v>
      </c>
      <c r="D57" s="53" t="s">
        <v>304</v>
      </c>
      <c r="E57" s="50">
        <f>neg_L22</f>
        <v>1</v>
      </c>
      <c r="F57" s="51">
        <f>neg_M22</f>
        <v>4</v>
      </c>
      <c r="G57" s="52">
        <f>neg_R22</f>
        <v>1</v>
      </c>
    </row>
    <row r="58" spans="1:7" ht="32.4" thickBot="1" x14ac:dyDescent="0.35">
      <c r="A58" s="54">
        <f>pos_L21</f>
        <v>2</v>
      </c>
      <c r="B58" s="55">
        <f>pos_M21</f>
        <v>1</v>
      </c>
      <c r="C58" s="56">
        <f>pos_R21</f>
        <v>1</v>
      </c>
      <c r="D58" s="49" t="s">
        <v>305</v>
      </c>
      <c r="E58" s="54">
        <f>neg_L21</f>
        <v>3</v>
      </c>
      <c r="F58" s="55">
        <f>neg_M21</f>
        <v>3</v>
      </c>
      <c r="G58" s="56">
        <f>neg_R21</f>
        <v>1</v>
      </c>
    </row>
    <row r="59" spans="1:7" ht="32.4" thickBot="1" x14ac:dyDescent="0.35">
      <c r="A59" s="57">
        <f>pos_L1</f>
        <v>3</v>
      </c>
      <c r="B59" s="58">
        <f>pos_M1</f>
        <v>0</v>
      </c>
      <c r="C59" s="59">
        <f>pos_R1</f>
        <v>0</v>
      </c>
      <c r="D59" s="49" t="s">
        <v>306</v>
      </c>
      <c r="E59" s="57">
        <f>neg_L1</f>
        <v>2</v>
      </c>
      <c r="F59" s="58">
        <f>neg_M1</f>
        <v>3</v>
      </c>
      <c r="G59" s="59">
        <f>neg_R1</f>
        <v>3</v>
      </c>
    </row>
    <row r="60" spans="1:7" ht="17.399999999999999" x14ac:dyDescent="0.3">
      <c r="A60" s="49" t="s">
        <v>307</v>
      </c>
      <c r="B60" s="49" t="s">
        <v>308</v>
      </c>
      <c r="C60" s="49" t="s">
        <v>309</v>
      </c>
      <c r="D60" s="60"/>
      <c r="E60" s="49" t="s">
        <v>307</v>
      </c>
      <c r="F60" s="49" t="s">
        <v>308</v>
      </c>
      <c r="G60" s="49" t="s">
        <v>309</v>
      </c>
    </row>
    <row r="65" spans="1:7" ht="22.2" x14ac:dyDescent="0.35">
      <c r="A65" s="64" t="s">
        <v>311</v>
      </c>
      <c r="B65" s="64"/>
      <c r="C65" s="64"/>
      <c r="D65" s="45"/>
      <c r="E65" s="64" t="s">
        <v>311</v>
      </c>
      <c r="F65" s="64"/>
      <c r="G65" s="64"/>
    </row>
    <row r="66" spans="1:7" ht="22.8" thickBot="1" x14ac:dyDescent="0.4">
      <c r="A66" s="64" t="s">
        <v>301</v>
      </c>
      <c r="B66" s="64"/>
      <c r="C66" s="64"/>
      <c r="D66" s="44"/>
      <c r="E66" s="64" t="s">
        <v>302</v>
      </c>
      <c r="F66" s="64"/>
      <c r="G66" s="64"/>
    </row>
    <row r="67" spans="1:7" ht="32.4" thickBot="1" x14ac:dyDescent="0.35">
      <c r="A67" s="46">
        <f>pos_L3</f>
        <v>1</v>
      </c>
      <c r="B67" s="47">
        <f>pos_M3</f>
        <v>1</v>
      </c>
      <c r="C67" s="48">
        <f>pos_R3</f>
        <v>2</v>
      </c>
      <c r="D67" s="49" t="s">
        <v>303</v>
      </c>
      <c r="E67" s="46">
        <f>neg_L3</f>
        <v>1</v>
      </c>
      <c r="F67" s="47">
        <f>neg_M3</f>
        <v>5</v>
      </c>
      <c r="G67" s="48">
        <f>neg_R3</f>
        <v>1</v>
      </c>
    </row>
    <row r="68" spans="1:7" ht="31.8" x14ac:dyDescent="0.3">
      <c r="A68" s="50">
        <f>pos_L22</f>
        <v>2</v>
      </c>
      <c r="B68" s="51">
        <f>pos_M22</f>
        <v>1</v>
      </c>
      <c r="C68" s="52">
        <f>pos_R22</f>
        <v>0</v>
      </c>
      <c r="D68" s="53" t="s">
        <v>304</v>
      </c>
      <c r="E68" s="50">
        <f>neg_L22</f>
        <v>1</v>
      </c>
      <c r="F68" s="51">
        <f>neg_M22</f>
        <v>4</v>
      </c>
      <c r="G68" s="52">
        <f>neg_R22</f>
        <v>1</v>
      </c>
    </row>
    <row r="69" spans="1:7" ht="32.4" thickBot="1" x14ac:dyDescent="0.35">
      <c r="A69" s="54">
        <f>pos_L21</f>
        <v>2</v>
      </c>
      <c r="B69" s="55">
        <f>pos_M21</f>
        <v>1</v>
      </c>
      <c r="C69" s="56">
        <f>pos_R21</f>
        <v>1</v>
      </c>
      <c r="D69" s="49" t="s">
        <v>305</v>
      </c>
      <c r="E69" s="54">
        <f>neg_L21</f>
        <v>3</v>
      </c>
      <c r="F69" s="55">
        <f>neg_M21</f>
        <v>3</v>
      </c>
      <c r="G69" s="56">
        <f>neg_R21</f>
        <v>1</v>
      </c>
    </row>
    <row r="70" spans="1:7" ht="32.4" thickBot="1" x14ac:dyDescent="0.35">
      <c r="A70" s="57">
        <f>pos_L1</f>
        <v>3</v>
      </c>
      <c r="B70" s="58">
        <f>pos_M1</f>
        <v>0</v>
      </c>
      <c r="C70" s="59">
        <f>pos_R1</f>
        <v>0</v>
      </c>
      <c r="D70" s="49" t="s">
        <v>306</v>
      </c>
      <c r="E70" s="57">
        <f>neg_L1</f>
        <v>2</v>
      </c>
      <c r="F70" s="58">
        <f>neg_M1</f>
        <v>3</v>
      </c>
      <c r="G70" s="59">
        <f>neg_R1</f>
        <v>3</v>
      </c>
    </row>
    <row r="71" spans="1:7" ht="17.399999999999999" x14ac:dyDescent="0.3">
      <c r="A71" s="49" t="s">
        <v>307</v>
      </c>
      <c r="B71" s="49" t="s">
        <v>308</v>
      </c>
      <c r="C71" s="49" t="s">
        <v>309</v>
      </c>
      <c r="D71" s="60"/>
      <c r="E71" s="49" t="s">
        <v>307</v>
      </c>
      <c r="F71" s="49" t="s">
        <v>308</v>
      </c>
      <c r="G71" s="49" t="s">
        <v>309</v>
      </c>
    </row>
  </sheetData>
  <mergeCells count="12">
    <mergeCell ref="A55:C55"/>
    <mergeCell ref="E55:G55"/>
    <mergeCell ref="A65:C65"/>
    <mergeCell ref="E65:G65"/>
    <mergeCell ref="A66:C66"/>
    <mergeCell ref="E66:G66"/>
    <mergeCell ref="A17:C17"/>
    <mergeCell ref="E17:G17"/>
    <mergeCell ref="A18:C18"/>
    <mergeCell ref="E18:G18"/>
    <mergeCell ref="A54:C54"/>
    <mergeCell ref="E54:G54"/>
  </mergeCells>
  <conditionalFormatting sqref="A19:C20 A22:C2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max"/>
        <color rgb="FFFFEF9C"/>
        <color rgb="FF63BE7B"/>
      </colorScale>
    </cfRule>
  </conditionalFormatting>
  <conditionalFormatting sqref="E19:G20 E22:G2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E19:G20 E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E23:G2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A21:C2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E21:G2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max"/>
        <color rgb="FFFFEF9C"/>
        <color rgb="FF63BE7B"/>
      </colorScale>
    </cfRule>
  </conditionalFormatting>
  <conditionalFormatting sqref="E21:G21">
    <cfRule type="colorScale" priority="33">
      <colorScale>
        <cfvo type="min"/>
        <cfvo type="max"/>
        <color rgb="FFFFEF9C"/>
        <color rgb="FF63BE7B"/>
      </colorScale>
    </cfRule>
  </conditionalFormatting>
  <conditionalFormatting sqref="E19:G22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9:C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6:C57 A59:C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max"/>
        <color rgb="FFFFEF9C"/>
        <color rgb="FF63BE7B"/>
      </colorScale>
    </cfRule>
  </conditionalFormatting>
  <conditionalFormatting sqref="E56:G57 E59:G5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E56:G57 E59:G59">
    <cfRule type="colorScale" priority="26">
      <colorScale>
        <cfvo type="min"/>
        <cfvo type="max"/>
        <color rgb="FFFFEF9C"/>
        <color rgb="FF63BE7B"/>
      </colorScale>
    </cfRule>
  </conditionalFormatting>
  <conditionalFormatting sqref="E60:G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max"/>
        <color rgb="FFFFEF9C"/>
        <color rgb="FF63BE7B"/>
      </colorScale>
    </cfRule>
  </conditionalFormatting>
  <conditionalFormatting sqref="A58:C5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max"/>
        <color rgb="FFFFEF9C"/>
        <color rgb="FF63BE7B"/>
      </colorScale>
    </cfRule>
  </conditionalFormatting>
  <conditionalFormatting sqref="E58:G5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max"/>
        <color rgb="FFFFEF9C"/>
        <color rgb="FF63BE7B"/>
      </colorScale>
    </cfRule>
  </conditionalFormatting>
  <conditionalFormatting sqref="E58:G58">
    <cfRule type="colorScale" priority="19">
      <colorScale>
        <cfvo type="min"/>
        <cfvo type="max"/>
        <color rgb="FFFFEF9C"/>
        <color rgb="FF63BE7B"/>
      </colorScale>
    </cfRule>
  </conditionalFormatting>
  <conditionalFormatting sqref="E56:G5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6:C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67:C68 A70:C7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max"/>
        <color rgb="FFFFEF9C"/>
        <color rgb="FF63BE7B"/>
      </colorScale>
    </cfRule>
  </conditionalFormatting>
  <conditionalFormatting sqref="E67:G68 E70:G7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max"/>
        <color rgb="FFFFEF9C"/>
        <color rgb="FF63BE7B"/>
      </colorScale>
    </cfRule>
  </conditionalFormatting>
  <conditionalFormatting sqref="E67:G68 E70:G70">
    <cfRule type="colorScale" priority="12">
      <colorScale>
        <cfvo type="min"/>
        <cfvo type="max"/>
        <color rgb="FFFFEF9C"/>
        <color rgb="FF63BE7B"/>
      </colorScale>
    </cfRule>
  </conditionalFormatting>
  <conditionalFormatting sqref="E71:G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FEF9C"/>
        <color rgb="FF63BE7B"/>
      </colorScale>
    </cfRule>
  </conditionalFormatting>
  <conditionalFormatting sqref="A69:C6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E69:G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max"/>
        <color rgb="FFFFEF9C"/>
        <color rgb="FF63BE7B"/>
      </colorScale>
    </cfRule>
  </conditionalFormatting>
  <conditionalFormatting sqref="E69:G69">
    <cfRule type="colorScale" priority="5">
      <colorScale>
        <cfvo type="min"/>
        <cfvo type="max"/>
        <color rgb="FFFFEF9C"/>
        <color rgb="FF63BE7B"/>
      </colorScale>
    </cfRule>
  </conditionalFormatting>
  <conditionalFormatting sqref="E67:G7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67:C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</vt:lpstr>
      <vt:lpstr>ANALYSIS</vt:lpstr>
      <vt:lpstr>Report1</vt:lpstr>
      <vt:lpstr>Report2</vt:lpstr>
      <vt:lpstr>Report1!Print_Area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Joonas Kuusemäe</dc:creator>
  <cp:lastModifiedBy>Joonas Kuusemäe</cp:lastModifiedBy>
  <cp:lastPrinted>2025-05-04T12:21:36Z</cp:lastPrinted>
  <dcterms:created xsi:type="dcterms:W3CDTF">2025-05-01T10:22:46Z</dcterms:created>
  <dcterms:modified xsi:type="dcterms:W3CDTF">2025-05-09T09:19:53Z</dcterms:modified>
</cp:coreProperties>
</file>